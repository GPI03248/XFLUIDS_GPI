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8295"/>
  </bookViews>
  <sheets>
    <sheet name="H2O-N2_21_Reaction_OFM" sheetId="10" r:id="rId1"/>
    <sheet name="N2" sheetId="8" r:id="rId2"/>
    <sheet name="H2O_18_Reaction" sheetId="4" r:id="rId3"/>
    <sheet name="H2O_19_Reaction" sheetId="1" r:id="rId4"/>
    <sheet name="H2O_23_Reaction" sheetId="3" r:id="rId5"/>
    <sheet name="H2O-N2_16_Reaction" sheetId="7" r:id="rId6"/>
    <sheet name="H2O-N2_19_Reaction" sheetId="5" r:id="rId7"/>
    <sheet name="H2O-N2_21_Reaction" sheetId="2" r:id="rId8"/>
    <sheet name="H2O-N2_25_Reaction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<sst xmlns="http://schemas.openxmlformats.org/spreadsheetml/2006/main" count="227" uniqueCount="53">
  <si>
    <t>H2</t>
  </si>
  <si>
    <t>O2</t>
  </si>
  <si>
    <t>O</t>
  </si>
  <si>
    <t>H</t>
  </si>
  <si>
    <t>OH</t>
  </si>
  <si>
    <t>HO2</t>
  </si>
  <si>
    <t>H2O2</t>
  </si>
  <si>
    <t>H2O</t>
  </si>
  <si>
    <t xml:space="preserve">  N2</t>
  </si>
  <si>
    <t>OpenFOAM</t>
  </si>
  <si>
    <t>XFLUIDS</t>
  </si>
  <si>
    <t>*forward_reaction</t>
  </si>
  <si>
    <t>*backward_reaction</t>
  </si>
  <si>
    <t>*third_body</t>
  </si>
  <si>
    <t>*Arrhenius</t>
  </si>
  <si>
    <t>Ref:https://github.com/JieSun-pku/detonationFoam/blob/main/tutorials/2D_detonation/constant/chem_Li_2007</t>
  </si>
  <si>
    <t>N2</t>
  </si>
  <si>
    <t xml:space="preserve"> </t>
  </si>
  <si>
    <t>N</t>
  </si>
  <si>
    <t>AR</t>
  </si>
  <si>
    <t xml:space="preserve">H2    </t>
  </si>
  <si>
    <t xml:space="preserve">O2      </t>
  </si>
  <si>
    <t xml:space="preserve">   O     </t>
  </si>
  <si>
    <t xml:space="preserve">H    </t>
  </si>
  <si>
    <t xml:space="preserve">OH      </t>
  </si>
  <si>
    <t xml:space="preserve">   HO2  </t>
  </si>
  <si>
    <t xml:space="preserve">  H2O2 </t>
  </si>
  <si>
    <t xml:space="preserve">  H2O     </t>
  </si>
  <si>
    <t xml:space="preserve">   AR</t>
  </si>
  <si>
    <t>4.57E+19   -1.40</t>
  </si>
  <si>
    <t>6.17E+15   -0.50</t>
  </si>
  <si>
    <t>4.72E+18   -1.00</t>
  </si>
  <si>
    <t>4.50E+22   -2.00</t>
  </si>
  <si>
    <t>3.48E+16   -0.41</t>
  </si>
  <si>
    <t xml:space="preserve"> H2     </t>
  </si>
  <si>
    <t xml:space="preserve">  O2     </t>
  </si>
  <si>
    <t xml:space="preserve">OH    </t>
  </si>
  <si>
    <t xml:space="preserve"> HO2   </t>
  </si>
  <si>
    <t xml:space="preserve"> H2O2   </t>
  </si>
  <si>
    <t>4.58E+19   -1.40</t>
  </si>
  <si>
    <t>4.52E+17   -0.60</t>
  </si>
  <si>
    <t>9.88E+17   -0.70</t>
  </si>
  <si>
    <t>1.91E+23   -1.80</t>
  </si>
  <si>
    <t>4.63E+16   -0.30</t>
  </si>
  <si>
    <t>1.43E+13   -0.30</t>
  </si>
  <si>
    <t>// Third-body for AR</t>
  </si>
  <si>
    <t>0.14*T^(0.4)</t>
  </si>
  <si>
    <t>93.8*T^(-0.25)</t>
  </si>
  <si>
    <t>4*T^(-0.06)</t>
  </si>
  <si>
    <t>429*T^(-0.92)</t>
  </si>
  <si>
    <t>13.4*T^(0.04)</t>
  </si>
  <si>
    <t>536*T^(-0.92)</t>
  </si>
  <si>
    <t>3..486E-16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</si>
</sst>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E+00"/>
    <numFmt numFmtId="177" formatCode="0.000_ "/>
    <numFmt numFmtId="178" formatCode="0.00_ "/>
    <numFmt numFmtId="179" formatCode="0.0000E+00"/>
  </numFmts>
  <fonts count="1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9" applyNumberFormat="0" applyAlignment="0" applyProtection="0">
      <alignment vertical="center"/>
    </xf>
    <xf numFmtId="0" fontId="11" fillId="4" borderId="20" applyNumberFormat="0" applyAlignment="0" applyProtection="0">
      <alignment vertical="center"/>
    </xf>
    <xf numFmtId="0" fontId="12" fillId="4" borderId="19" applyNumberFormat="0" applyAlignment="0" applyProtection="0">
      <alignment vertical="center"/>
    </xf>
    <xf numFmtId="0" fontId="13" fillId="5" borderId="21" applyNumberFormat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" fillId="0" borderId="2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177" fontId="0" fillId="0" borderId="0" xfId="0" applyNumberFormat="1" applyFont="1" applyAlignment="1">
      <alignment horizontal="left" vertical="center"/>
    </xf>
    <xf numFmtId="11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1" fontId="0" fillId="0" borderId="0" xfId="0" applyNumberFormat="1" applyFont="1" applyAlignment="1">
      <alignment horizontal="left" vertical="center"/>
    </xf>
    <xf numFmtId="178" fontId="0" fillId="0" borderId="0" xfId="0" applyNumberFormat="1" applyFont="1" applyAlignment="1">
      <alignment horizontal="left" vertical="center"/>
    </xf>
    <xf numFmtId="176" fontId="0" fillId="0" borderId="0" xfId="0" applyNumberFormat="1">
      <alignment vertical="center"/>
    </xf>
    <xf numFmtId="179" fontId="0" fillId="0" borderId="0" xfId="0" applyNumberFormat="1">
      <alignment vertical="center"/>
    </xf>
    <xf numFmtId="179" fontId="0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right" vertical="center"/>
    </xf>
    <xf numFmtId="11" fontId="0" fillId="0" borderId="0" xfId="0" applyNumberFormat="1">
      <alignment vertical="center"/>
    </xf>
    <xf numFmtId="178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76" fontId="0" fillId="0" borderId="9" xfId="0" applyNumberFormat="1" applyBorder="1" applyAlignment="1">
      <alignment horizontal="center" vertical="center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>
      <alignment horizontal="left" vertical="center"/>
    </xf>
    <xf numFmtId="176" fontId="0" fillId="0" borderId="4" xfId="0" applyNumberFormat="1" applyBorder="1">
      <alignment vertical="center"/>
    </xf>
    <xf numFmtId="176" fontId="0" fillId="0" borderId="10" xfId="0" applyNumberForma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>
      <alignment vertical="center"/>
    </xf>
    <xf numFmtId="177" fontId="0" fillId="0" borderId="5" xfId="0" applyNumberFormat="1" applyBorder="1">
      <alignment vertical="center"/>
    </xf>
    <xf numFmtId="0" fontId="0" fillId="0" borderId="13" xfId="0" applyBorder="1">
      <alignment vertical="center"/>
    </xf>
    <xf numFmtId="0" fontId="0" fillId="0" borderId="5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90"/>
  <sheetViews>
    <sheetView tabSelected="1" zoomScale="115" zoomScaleNormal="115" topLeftCell="A3" workbookViewId="0">
      <selection activeCell="P15" sqref="P15"/>
    </sheetView>
  </sheetViews>
  <sheetFormatPr defaultColWidth="11" defaultRowHeight="13.5"/>
  <cols>
    <col min="1" max="16" width="4.83333333333333" customWidth="1"/>
    <col min="17" max="17" width="6.5" customWidth="1"/>
    <col min="18" max="27" width="4.83333333333333" customWidth="1"/>
    <col min="28" max="28" width="12" style="15" customWidth="1"/>
    <col min="29" max="29" width="8" style="21" customWidth="1"/>
    <col min="30" max="30" width="10.3333333333333" style="21" customWidth="1"/>
    <col min="31" max="31" width="5.33333333333333" customWidth="1"/>
    <col min="34" max="34" width="13.75"/>
  </cols>
  <sheetData>
    <row r="1" ht="14.25" spans="1:34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8" t="s">
        <v>8</v>
      </c>
      <c r="J1" s="22" t="s">
        <v>0</v>
      </c>
      <c r="K1" s="23" t="s">
        <v>1</v>
      </c>
      <c r="L1" s="23" t="s">
        <v>2</v>
      </c>
      <c r="M1" s="23" t="s">
        <v>3</v>
      </c>
      <c r="N1" s="23" t="s">
        <v>4</v>
      </c>
      <c r="O1" s="23" t="s">
        <v>5</v>
      </c>
      <c r="P1" s="23" t="s">
        <v>6</v>
      </c>
      <c r="Q1" s="23" t="s">
        <v>7</v>
      </c>
      <c r="R1" s="28" t="s">
        <v>8</v>
      </c>
      <c r="S1" s="22" t="s">
        <v>0</v>
      </c>
      <c r="T1" s="23" t="s">
        <v>1</v>
      </c>
      <c r="U1" s="23" t="s">
        <v>2</v>
      </c>
      <c r="V1" s="23" t="s">
        <v>3</v>
      </c>
      <c r="W1" s="23" t="s">
        <v>4</v>
      </c>
      <c r="X1" s="23" t="s">
        <v>5</v>
      </c>
      <c r="Y1" s="23" t="s">
        <v>6</v>
      </c>
      <c r="Z1" s="23" t="s">
        <v>7</v>
      </c>
      <c r="AA1" s="28" t="s">
        <v>8</v>
      </c>
      <c r="AB1" s="31" t="s">
        <v>9</v>
      </c>
      <c r="AC1" s="35"/>
      <c r="AD1" s="35"/>
      <c r="AE1" s="36"/>
      <c r="AF1" s="37" t="s">
        <v>10</v>
      </c>
      <c r="AG1" s="37"/>
      <c r="AH1" s="42"/>
    </row>
    <row r="2" spans="1:34">
      <c r="A2" s="24">
        <v>2</v>
      </c>
      <c r="B2" s="25">
        <v>1</v>
      </c>
      <c r="C2" s="25">
        <v>0</v>
      </c>
      <c r="D2" s="25">
        <v>0</v>
      </c>
      <c r="E2" s="25">
        <v>0</v>
      </c>
      <c r="F2" s="25">
        <v>0</v>
      </c>
      <c r="G2" s="25">
        <v>0</v>
      </c>
      <c r="H2" s="25">
        <v>0</v>
      </c>
      <c r="I2" s="29">
        <v>0</v>
      </c>
      <c r="J2" s="24">
        <v>2</v>
      </c>
      <c r="K2" s="25">
        <v>1</v>
      </c>
      <c r="L2" s="25">
        <v>0</v>
      </c>
      <c r="M2" s="25">
        <v>0</v>
      </c>
      <c r="N2" s="25">
        <v>0</v>
      </c>
      <c r="O2" s="25">
        <v>0</v>
      </c>
      <c r="P2" s="25">
        <v>0</v>
      </c>
      <c r="Q2" s="25">
        <v>0</v>
      </c>
      <c r="R2" s="29">
        <v>0</v>
      </c>
      <c r="S2" s="24">
        <v>2</v>
      </c>
      <c r="T2" s="25">
        <v>1</v>
      </c>
      <c r="U2" s="25">
        <v>0</v>
      </c>
      <c r="V2" s="25">
        <v>0</v>
      </c>
      <c r="W2" s="25">
        <v>0</v>
      </c>
      <c r="X2" s="25">
        <v>0</v>
      </c>
      <c r="Y2" s="25">
        <v>0</v>
      </c>
      <c r="Z2" s="25">
        <v>0</v>
      </c>
      <c r="AA2" s="29">
        <v>0</v>
      </c>
      <c r="AB2" s="32"/>
      <c r="AE2" s="38"/>
      <c r="AH2" s="43"/>
    </row>
    <row r="3" spans="1:34">
      <c r="A3" s="24"/>
      <c r="B3" s="25" t="s">
        <v>11</v>
      </c>
      <c r="C3" s="25"/>
      <c r="D3" s="25"/>
      <c r="E3" s="25"/>
      <c r="F3" s="25"/>
      <c r="G3" s="25"/>
      <c r="H3" s="25"/>
      <c r="I3" s="29"/>
      <c r="J3" s="24"/>
      <c r="K3" s="25" t="s">
        <v>12</v>
      </c>
      <c r="L3" s="25"/>
      <c r="M3" s="25"/>
      <c r="N3" s="25"/>
      <c r="O3" s="25"/>
      <c r="P3" s="25"/>
      <c r="Q3" s="25"/>
      <c r="R3" s="29"/>
      <c r="S3" s="24"/>
      <c r="T3" s="25" t="s">
        <v>13</v>
      </c>
      <c r="U3" s="25"/>
      <c r="V3" s="25"/>
      <c r="W3" s="25"/>
      <c r="X3" s="25"/>
      <c r="Y3" s="25"/>
      <c r="Z3" s="25"/>
      <c r="AA3" s="29"/>
      <c r="AB3" s="33" t="s">
        <v>14</v>
      </c>
      <c r="AC3" s="3"/>
      <c r="AD3" s="3"/>
      <c r="AE3" s="38"/>
      <c r="AH3" s="43"/>
    </row>
    <row r="4" spans="1:34">
      <c r="A4" s="24">
        <v>0</v>
      </c>
      <c r="B4" s="25">
        <v>1</v>
      </c>
      <c r="C4" s="25">
        <v>0</v>
      </c>
      <c r="D4" s="25">
        <v>1</v>
      </c>
      <c r="E4" s="25">
        <v>0</v>
      </c>
      <c r="F4" s="25">
        <v>0</v>
      </c>
      <c r="G4" s="25">
        <v>0</v>
      </c>
      <c r="H4" s="25">
        <v>0</v>
      </c>
      <c r="I4" s="29">
        <v>0</v>
      </c>
      <c r="J4" s="24">
        <v>0</v>
      </c>
      <c r="K4" s="25">
        <v>0</v>
      </c>
      <c r="L4" s="25">
        <v>1</v>
      </c>
      <c r="M4" s="25">
        <v>0</v>
      </c>
      <c r="N4" s="25">
        <v>1</v>
      </c>
      <c r="O4" s="25">
        <v>0</v>
      </c>
      <c r="P4" s="25">
        <v>0</v>
      </c>
      <c r="Q4" s="25">
        <v>0</v>
      </c>
      <c r="R4" s="29">
        <v>0</v>
      </c>
      <c r="S4" s="24">
        <v>0</v>
      </c>
      <c r="T4" s="25">
        <v>0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9">
        <v>0</v>
      </c>
      <c r="AB4" s="33">
        <v>3547000000000</v>
      </c>
      <c r="AC4" s="3">
        <v>-0.406</v>
      </c>
      <c r="AD4" s="3">
        <v>8352.47</v>
      </c>
      <c r="AE4" s="38">
        <v>0</v>
      </c>
      <c r="AF4">
        <f>AB4*1000</f>
        <v>3547000000000000</v>
      </c>
      <c r="AG4">
        <f>AC4</f>
        <v>-0.406</v>
      </c>
      <c r="AH4" s="43">
        <f>AD4*8.31451/4.184</f>
        <v>16598.1585419933</v>
      </c>
    </row>
    <row r="5" spans="1:34">
      <c r="A5" s="24">
        <v>1</v>
      </c>
      <c r="B5" s="25">
        <v>0</v>
      </c>
      <c r="C5" s="25">
        <v>1</v>
      </c>
      <c r="D5" s="25">
        <v>0</v>
      </c>
      <c r="E5" s="25">
        <v>0</v>
      </c>
      <c r="F5" s="25">
        <v>0</v>
      </c>
      <c r="G5" s="25">
        <v>0</v>
      </c>
      <c r="H5" s="25">
        <v>0</v>
      </c>
      <c r="I5" s="29">
        <v>0</v>
      </c>
      <c r="J5" s="24">
        <v>0</v>
      </c>
      <c r="K5" s="25">
        <v>0</v>
      </c>
      <c r="L5" s="25">
        <v>0</v>
      </c>
      <c r="M5" s="25">
        <v>1</v>
      </c>
      <c r="N5" s="25">
        <v>1</v>
      </c>
      <c r="O5" s="25">
        <v>0</v>
      </c>
      <c r="P5" s="25">
        <v>0</v>
      </c>
      <c r="Q5" s="25">
        <v>0</v>
      </c>
      <c r="R5" s="29">
        <v>0</v>
      </c>
      <c r="S5" s="24">
        <v>0</v>
      </c>
      <c r="T5" s="25">
        <v>0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9">
        <v>0</v>
      </c>
      <c r="AB5" s="33">
        <v>50.8</v>
      </c>
      <c r="AC5" s="3">
        <v>2.67</v>
      </c>
      <c r="AD5" s="3">
        <v>3165.07</v>
      </c>
      <c r="AE5" s="38">
        <v>1</v>
      </c>
      <c r="AF5">
        <f t="shared" ref="AF5:AF24" si="0">AB5*1000</f>
        <v>50800</v>
      </c>
      <c r="AG5">
        <f t="shared" ref="AG5:AG24" si="1">AC5</f>
        <v>2.67</v>
      </c>
      <c r="AH5" s="43">
        <f t="shared" ref="AH5:AH24" si="2">AD5*8.31451/4.184</f>
        <v>6289.67642583652</v>
      </c>
    </row>
    <row r="6" spans="1:34">
      <c r="A6" s="24">
        <v>1</v>
      </c>
      <c r="B6" s="25">
        <v>0</v>
      </c>
      <c r="C6" s="25">
        <v>0</v>
      </c>
      <c r="D6" s="25">
        <v>0</v>
      </c>
      <c r="E6" s="25">
        <v>1</v>
      </c>
      <c r="F6" s="25">
        <v>0</v>
      </c>
      <c r="G6" s="25">
        <v>0</v>
      </c>
      <c r="H6" s="25">
        <v>0</v>
      </c>
      <c r="I6" s="29">
        <v>0</v>
      </c>
      <c r="J6" s="24">
        <v>0</v>
      </c>
      <c r="K6" s="25">
        <v>0</v>
      </c>
      <c r="L6" s="25">
        <v>0</v>
      </c>
      <c r="M6" s="25">
        <v>1</v>
      </c>
      <c r="N6" s="25">
        <v>0</v>
      </c>
      <c r="O6" s="25">
        <v>0</v>
      </c>
      <c r="P6" s="25">
        <v>0</v>
      </c>
      <c r="Q6" s="25">
        <v>1</v>
      </c>
      <c r="R6" s="29">
        <v>0</v>
      </c>
      <c r="S6" s="24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0</v>
      </c>
      <c r="Z6" s="25">
        <v>0</v>
      </c>
      <c r="AA6" s="29">
        <v>0</v>
      </c>
      <c r="AB6" s="33">
        <v>216000</v>
      </c>
      <c r="AC6" s="3">
        <v>1.51</v>
      </c>
      <c r="AD6" s="3">
        <v>1725.95</v>
      </c>
      <c r="AE6" s="38">
        <v>2</v>
      </c>
      <c r="AF6">
        <f t="shared" si="0"/>
        <v>216000000</v>
      </c>
      <c r="AG6">
        <f t="shared" si="1"/>
        <v>1.51</v>
      </c>
      <c r="AH6" s="43">
        <f t="shared" si="2"/>
        <v>3429.83473577916</v>
      </c>
    </row>
    <row r="7" spans="1:34">
      <c r="A7" s="24">
        <v>0</v>
      </c>
      <c r="B7" s="25">
        <v>0</v>
      </c>
      <c r="C7" s="25">
        <v>1</v>
      </c>
      <c r="D7" s="25">
        <v>0</v>
      </c>
      <c r="E7" s="25">
        <v>0</v>
      </c>
      <c r="F7" s="25">
        <v>0</v>
      </c>
      <c r="G7" s="25">
        <v>0</v>
      </c>
      <c r="H7" s="25">
        <v>1</v>
      </c>
      <c r="I7" s="29">
        <v>0</v>
      </c>
      <c r="J7" s="24">
        <v>0</v>
      </c>
      <c r="K7" s="25">
        <v>0</v>
      </c>
      <c r="L7" s="25">
        <v>0</v>
      </c>
      <c r="M7" s="25">
        <v>0</v>
      </c>
      <c r="N7" s="25">
        <v>2</v>
      </c>
      <c r="O7" s="25">
        <v>0</v>
      </c>
      <c r="P7" s="25">
        <v>0</v>
      </c>
      <c r="Q7" s="25">
        <v>0</v>
      </c>
      <c r="R7" s="29">
        <v>0</v>
      </c>
      <c r="S7" s="24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9">
        <v>0</v>
      </c>
      <c r="AB7" s="33">
        <v>2970</v>
      </c>
      <c r="AC7" s="3">
        <v>2.02</v>
      </c>
      <c r="AD7" s="3">
        <v>6742.76</v>
      </c>
      <c r="AE7" s="38">
        <v>3</v>
      </c>
      <c r="AF7">
        <f t="shared" si="0"/>
        <v>2970000</v>
      </c>
      <c r="AG7">
        <f t="shared" si="1"/>
        <v>2.02</v>
      </c>
      <c r="AH7" s="43">
        <f t="shared" si="2"/>
        <v>13399.3177456023</v>
      </c>
    </row>
    <row r="8" spans="1:34">
      <c r="A8" s="24">
        <v>1</v>
      </c>
      <c r="B8" s="25">
        <v>0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9">
        <v>0</v>
      </c>
      <c r="J8" s="24">
        <v>0</v>
      </c>
      <c r="K8" s="25">
        <v>0</v>
      </c>
      <c r="L8" s="25">
        <v>0</v>
      </c>
      <c r="M8" s="25">
        <v>2</v>
      </c>
      <c r="N8" s="25">
        <v>0</v>
      </c>
      <c r="O8" s="25">
        <v>0</v>
      </c>
      <c r="P8" s="25">
        <v>0</v>
      </c>
      <c r="Q8" s="25">
        <v>0</v>
      </c>
      <c r="R8" s="29">
        <v>0</v>
      </c>
      <c r="S8" s="24">
        <v>2.5</v>
      </c>
      <c r="T8" s="25">
        <v>1</v>
      </c>
      <c r="U8" s="25">
        <v>1</v>
      </c>
      <c r="V8" s="25">
        <v>1</v>
      </c>
      <c r="W8" s="25">
        <v>1</v>
      </c>
      <c r="X8" s="25">
        <v>1</v>
      </c>
      <c r="Y8" s="25">
        <v>1</v>
      </c>
      <c r="Z8" s="25">
        <v>12</v>
      </c>
      <c r="AA8" s="29">
        <v>1</v>
      </c>
      <c r="AB8" s="32">
        <v>4.577e+16</v>
      </c>
      <c r="AC8" s="21">
        <v>-1.4</v>
      </c>
      <c r="AD8" s="21">
        <v>52523.1</v>
      </c>
      <c r="AE8" s="38">
        <v>4</v>
      </c>
      <c r="AF8">
        <f t="shared" si="0"/>
        <v>4.577e+19</v>
      </c>
      <c r="AG8">
        <f t="shared" si="1"/>
        <v>-1.4</v>
      </c>
      <c r="AH8" s="43">
        <f t="shared" si="2"/>
        <v>104374.722796606</v>
      </c>
    </row>
    <row r="9" spans="1:34">
      <c r="A9" s="24">
        <v>0</v>
      </c>
      <c r="B9" s="25">
        <v>0</v>
      </c>
      <c r="C9" s="25">
        <v>2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9">
        <v>0</v>
      </c>
      <c r="J9" s="24">
        <v>0</v>
      </c>
      <c r="K9" s="25">
        <v>1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9">
        <v>0</v>
      </c>
      <c r="S9" s="24">
        <v>2.5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12</v>
      </c>
      <c r="AA9" s="29">
        <v>1</v>
      </c>
      <c r="AB9" s="32">
        <v>6165000000</v>
      </c>
      <c r="AC9" s="21">
        <v>-0.5</v>
      </c>
      <c r="AD9" s="21">
        <v>0</v>
      </c>
      <c r="AE9" s="38">
        <v>5</v>
      </c>
      <c r="AF9">
        <f t="shared" si="0"/>
        <v>6165000000000</v>
      </c>
      <c r="AG9">
        <f t="shared" si="1"/>
        <v>-0.5</v>
      </c>
      <c r="AH9" s="43">
        <f t="shared" si="2"/>
        <v>0</v>
      </c>
    </row>
    <row r="10" spans="1:34">
      <c r="A10" s="24">
        <v>0</v>
      </c>
      <c r="B10" s="25">
        <v>0</v>
      </c>
      <c r="C10" s="25">
        <v>1</v>
      </c>
      <c r="D10" s="25">
        <v>1</v>
      </c>
      <c r="E10" s="25">
        <v>0</v>
      </c>
      <c r="F10" s="25">
        <v>0</v>
      </c>
      <c r="G10" s="25">
        <v>0</v>
      </c>
      <c r="H10" s="25">
        <v>0</v>
      </c>
      <c r="I10" s="29">
        <v>0</v>
      </c>
      <c r="J10" s="24">
        <v>0</v>
      </c>
      <c r="K10" s="25">
        <v>0</v>
      </c>
      <c r="L10" s="25">
        <v>0</v>
      </c>
      <c r="M10" s="25">
        <v>0</v>
      </c>
      <c r="N10" s="25">
        <v>1</v>
      </c>
      <c r="O10" s="25">
        <v>0</v>
      </c>
      <c r="P10" s="25">
        <v>0</v>
      </c>
      <c r="Q10" s="25">
        <v>0</v>
      </c>
      <c r="R10" s="29">
        <v>0</v>
      </c>
      <c r="S10" s="24">
        <v>2.5</v>
      </c>
      <c r="T10" s="25">
        <v>1</v>
      </c>
      <c r="U10" s="25">
        <v>1</v>
      </c>
      <c r="V10" s="25">
        <v>1</v>
      </c>
      <c r="W10" s="25">
        <v>1</v>
      </c>
      <c r="X10" s="25">
        <v>1</v>
      </c>
      <c r="Y10" s="25">
        <v>1</v>
      </c>
      <c r="Z10" s="25">
        <v>12</v>
      </c>
      <c r="AA10" s="29">
        <v>1</v>
      </c>
      <c r="AB10" s="32">
        <v>4714000000000</v>
      </c>
      <c r="AC10" s="21">
        <v>-1</v>
      </c>
      <c r="AD10" s="21">
        <v>0</v>
      </c>
      <c r="AE10" s="38">
        <v>6</v>
      </c>
      <c r="AF10">
        <f t="shared" si="0"/>
        <v>4714000000000000</v>
      </c>
      <c r="AG10">
        <f t="shared" si="1"/>
        <v>-1</v>
      </c>
      <c r="AH10" s="43">
        <f t="shared" si="2"/>
        <v>0</v>
      </c>
    </row>
    <row r="11" spans="1:34">
      <c r="A11" s="24">
        <v>0</v>
      </c>
      <c r="B11" s="25">
        <v>0</v>
      </c>
      <c r="C11" s="25">
        <v>0</v>
      </c>
      <c r="D11" s="25">
        <v>1</v>
      </c>
      <c r="E11" s="25">
        <v>1</v>
      </c>
      <c r="F11" s="25">
        <v>0</v>
      </c>
      <c r="G11" s="25">
        <v>0</v>
      </c>
      <c r="H11" s="25">
        <v>0</v>
      </c>
      <c r="I11" s="29">
        <v>0</v>
      </c>
      <c r="J11" s="24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1</v>
      </c>
      <c r="R11" s="29">
        <v>0</v>
      </c>
      <c r="S11" s="24">
        <v>2.5</v>
      </c>
      <c r="T11" s="25">
        <v>1</v>
      </c>
      <c r="U11" s="25">
        <v>1</v>
      </c>
      <c r="V11" s="25">
        <v>1</v>
      </c>
      <c r="W11" s="25">
        <v>1</v>
      </c>
      <c r="X11" s="25">
        <v>1</v>
      </c>
      <c r="Y11" s="25">
        <v>1</v>
      </c>
      <c r="Z11" s="25">
        <v>12</v>
      </c>
      <c r="AA11" s="29">
        <v>1</v>
      </c>
      <c r="AB11" s="32">
        <v>3.8e+16</v>
      </c>
      <c r="AC11" s="21">
        <v>-2</v>
      </c>
      <c r="AD11" s="21">
        <v>0</v>
      </c>
      <c r="AE11" s="38">
        <v>7</v>
      </c>
      <c r="AF11">
        <f t="shared" si="0"/>
        <v>3.8e+19</v>
      </c>
      <c r="AG11">
        <f t="shared" si="1"/>
        <v>-2</v>
      </c>
      <c r="AH11" s="43">
        <f t="shared" si="2"/>
        <v>0</v>
      </c>
    </row>
    <row r="12" spans="1:34">
      <c r="A12" s="24">
        <v>0</v>
      </c>
      <c r="B12" s="25">
        <v>1</v>
      </c>
      <c r="C12" s="25">
        <v>0</v>
      </c>
      <c r="D12" s="25">
        <v>1</v>
      </c>
      <c r="E12" s="25">
        <v>0</v>
      </c>
      <c r="F12" s="25">
        <v>0</v>
      </c>
      <c r="G12" s="25">
        <v>0</v>
      </c>
      <c r="H12" s="25">
        <v>0</v>
      </c>
      <c r="I12" s="29">
        <v>0</v>
      </c>
      <c r="J12" s="24">
        <v>0</v>
      </c>
      <c r="K12" s="25">
        <v>0</v>
      </c>
      <c r="L12" s="25">
        <v>0</v>
      </c>
      <c r="M12" s="25">
        <v>0</v>
      </c>
      <c r="N12" s="25">
        <v>0</v>
      </c>
      <c r="O12" s="25">
        <v>1</v>
      </c>
      <c r="P12" s="25">
        <v>0</v>
      </c>
      <c r="Q12" s="25">
        <v>0</v>
      </c>
      <c r="R12" s="29">
        <v>0</v>
      </c>
      <c r="S12" s="24">
        <v>2</v>
      </c>
      <c r="T12" s="25">
        <v>0.78</v>
      </c>
      <c r="U12" s="25">
        <v>1</v>
      </c>
      <c r="V12" s="25">
        <v>1</v>
      </c>
      <c r="W12" s="25">
        <v>1</v>
      </c>
      <c r="X12" s="25">
        <v>1</v>
      </c>
      <c r="Y12" s="25">
        <v>1</v>
      </c>
      <c r="Z12" s="25">
        <v>11</v>
      </c>
      <c r="AA12" s="29">
        <v>1</v>
      </c>
      <c r="AB12" s="32">
        <v>636600000000000</v>
      </c>
      <c r="AC12" s="21">
        <v>-1.72</v>
      </c>
      <c r="AD12" s="21">
        <v>264.075</v>
      </c>
      <c r="AE12" s="38">
        <v>8</v>
      </c>
      <c r="AF12">
        <f t="shared" si="0"/>
        <v>6.366e+17</v>
      </c>
      <c r="AG12">
        <f t="shared" si="1"/>
        <v>-1.72</v>
      </c>
      <c r="AH12" s="43">
        <f t="shared" si="2"/>
        <v>524.773955126673</v>
      </c>
    </row>
    <row r="13" spans="1:34">
      <c r="A13" s="24">
        <v>0</v>
      </c>
      <c r="B13" s="25">
        <v>0</v>
      </c>
      <c r="C13" s="25">
        <v>0</v>
      </c>
      <c r="D13" s="25">
        <v>1</v>
      </c>
      <c r="E13" s="25">
        <v>0</v>
      </c>
      <c r="F13" s="25">
        <v>1</v>
      </c>
      <c r="G13" s="25">
        <v>0</v>
      </c>
      <c r="H13" s="25">
        <v>0</v>
      </c>
      <c r="I13" s="29">
        <v>0</v>
      </c>
      <c r="J13" s="24">
        <v>1</v>
      </c>
      <c r="K13" s="25">
        <v>1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9">
        <v>0</v>
      </c>
      <c r="S13" s="24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9">
        <v>0</v>
      </c>
      <c r="AB13" s="32">
        <v>16600000000</v>
      </c>
      <c r="AC13" s="21">
        <v>0</v>
      </c>
      <c r="AD13" s="21">
        <v>414.126</v>
      </c>
      <c r="AE13" s="38">
        <v>9</v>
      </c>
      <c r="AF13">
        <f t="shared" si="0"/>
        <v>16600000000000</v>
      </c>
      <c r="AG13">
        <f t="shared" si="1"/>
        <v>0</v>
      </c>
      <c r="AH13" s="43">
        <f t="shared" si="2"/>
        <v>822.957640597514</v>
      </c>
    </row>
    <row r="14" spans="1:34">
      <c r="A14" s="24">
        <v>0</v>
      </c>
      <c r="B14" s="25">
        <v>0</v>
      </c>
      <c r="C14" s="25">
        <v>0</v>
      </c>
      <c r="D14" s="25">
        <v>1</v>
      </c>
      <c r="E14" s="25">
        <v>0</v>
      </c>
      <c r="F14" s="25">
        <v>1</v>
      </c>
      <c r="G14" s="25">
        <v>0</v>
      </c>
      <c r="H14" s="25">
        <v>0</v>
      </c>
      <c r="I14" s="29">
        <v>0</v>
      </c>
      <c r="J14" s="24">
        <v>0</v>
      </c>
      <c r="K14" s="25">
        <v>0</v>
      </c>
      <c r="L14" s="25">
        <v>0</v>
      </c>
      <c r="M14" s="25">
        <v>0</v>
      </c>
      <c r="N14" s="25">
        <v>2</v>
      </c>
      <c r="O14" s="25">
        <v>0</v>
      </c>
      <c r="P14" s="25">
        <v>0</v>
      </c>
      <c r="Q14" s="25">
        <v>0</v>
      </c>
      <c r="R14" s="29">
        <v>0</v>
      </c>
      <c r="S14" s="24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9">
        <v>0</v>
      </c>
      <c r="AB14" s="32">
        <v>70790000000</v>
      </c>
      <c r="AC14" s="21">
        <v>0</v>
      </c>
      <c r="AD14" s="21">
        <v>148.441</v>
      </c>
      <c r="AE14" s="38">
        <v>10</v>
      </c>
      <c r="AF14">
        <f t="shared" si="0"/>
        <v>70790000000000</v>
      </c>
      <c r="AG14">
        <f t="shared" si="1"/>
        <v>0</v>
      </c>
      <c r="AH14" s="43">
        <f t="shared" si="2"/>
        <v>294.984268381931</v>
      </c>
    </row>
    <row r="15" spans="1:34">
      <c r="A15" s="24">
        <v>0</v>
      </c>
      <c r="B15" s="25">
        <v>0</v>
      </c>
      <c r="C15" s="25">
        <v>1</v>
      </c>
      <c r="D15" s="25">
        <v>0</v>
      </c>
      <c r="E15" s="25">
        <v>0</v>
      </c>
      <c r="F15" s="25">
        <v>1</v>
      </c>
      <c r="G15" s="25">
        <v>0</v>
      </c>
      <c r="H15" s="25">
        <v>0</v>
      </c>
      <c r="I15" s="29">
        <v>0</v>
      </c>
      <c r="J15" s="24">
        <v>0</v>
      </c>
      <c r="K15" s="25">
        <v>1</v>
      </c>
      <c r="L15" s="25">
        <v>0</v>
      </c>
      <c r="M15" s="25">
        <v>0</v>
      </c>
      <c r="N15" s="25">
        <v>1</v>
      </c>
      <c r="O15" s="25">
        <v>0</v>
      </c>
      <c r="P15" s="25">
        <v>0</v>
      </c>
      <c r="Q15" s="25">
        <v>0</v>
      </c>
      <c r="R15" s="29">
        <v>0</v>
      </c>
      <c r="S15" s="24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9">
        <v>0</v>
      </c>
      <c r="AB15" s="32">
        <v>32500000000</v>
      </c>
      <c r="AC15" s="21">
        <v>0</v>
      </c>
      <c r="AD15" s="21">
        <v>0</v>
      </c>
      <c r="AE15" s="38">
        <v>11</v>
      </c>
      <c r="AF15">
        <f t="shared" si="0"/>
        <v>32500000000000</v>
      </c>
      <c r="AG15">
        <f t="shared" si="1"/>
        <v>0</v>
      </c>
      <c r="AH15" s="43">
        <f t="shared" si="2"/>
        <v>0</v>
      </c>
    </row>
    <row r="16" spans="1:34">
      <c r="A16" s="24">
        <v>0</v>
      </c>
      <c r="B16" s="25">
        <v>0</v>
      </c>
      <c r="C16" s="25">
        <v>0</v>
      </c>
      <c r="D16" s="25">
        <v>0</v>
      </c>
      <c r="E16" s="25">
        <v>1</v>
      </c>
      <c r="F16" s="25">
        <v>1</v>
      </c>
      <c r="G16" s="25">
        <v>0</v>
      </c>
      <c r="H16" s="25">
        <v>0</v>
      </c>
      <c r="I16" s="29">
        <v>0</v>
      </c>
      <c r="J16" s="24">
        <v>0</v>
      </c>
      <c r="K16" s="25">
        <v>1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1</v>
      </c>
      <c r="R16" s="29">
        <v>0</v>
      </c>
      <c r="S16" s="24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9">
        <v>0</v>
      </c>
      <c r="AB16" s="32">
        <v>28900000000</v>
      </c>
      <c r="AC16" s="21">
        <v>0</v>
      </c>
      <c r="AD16" s="21">
        <v>-250.086</v>
      </c>
      <c r="AE16" s="38">
        <v>12</v>
      </c>
      <c r="AF16">
        <f t="shared" si="0"/>
        <v>28900000000000</v>
      </c>
      <c r="AG16">
        <f t="shared" si="1"/>
        <v>0</v>
      </c>
      <c r="AH16" s="43">
        <f t="shared" si="2"/>
        <v>-496.974796333652</v>
      </c>
    </row>
    <row r="17" spans="1:34">
      <c r="A17" s="24">
        <v>0</v>
      </c>
      <c r="B17" s="25">
        <v>0</v>
      </c>
      <c r="C17" s="25">
        <v>0</v>
      </c>
      <c r="D17" s="25">
        <v>0</v>
      </c>
      <c r="E17" s="25">
        <v>0</v>
      </c>
      <c r="F17" s="25">
        <v>2</v>
      </c>
      <c r="G17" s="25">
        <v>0</v>
      </c>
      <c r="H17" s="25">
        <v>0</v>
      </c>
      <c r="I17" s="29">
        <v>0</v>
      </c>
      <c r="J17" s="24">
        <v>0</v>
      </c>
      <c r="K17" s="25">
        <v>1</v>
      </c>
      <c r="L17" s="25">
        <v>0</v>
      </c>
      <c r="M17" s="25">
        <v>0</v>
      </c>
      <c r="N17" s="25">
        <v>0</v>
      </c>
      <c r="O17" s="25">
        <v>0</v>
      </c>
      <c r="P17" s="25">
        <v>1</v>
      </c>
      <c r="Q17" s="25">
        <v>0</v>
      </c>
      <c r="R17" s="29">
        <v>0</v>
      </c>
      <c r="S17" s="24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9">
        <v>0</v>
      </c>
      <c r="AB17" s="32">
        <v>420000000000</v>
      </c>
      <c r="AC17" s="21">
        <v>0</v>
      </c>
      <c r="AD17" s="21">
        <v>6029.24</v>
      </c>
      <c r="AE17" s="38">
        <v>13</v>
      </c>
      <c r="AF17">
        <f t="shared" si="0"/>
        <v>420000000000000</v>
      </c>
      <c r="AG17">
        <f t="shared" si="1"/>
        <v>0</v>
      </c>
      <c r="AH17" s="43">
        <f t="shared" si="2"/>
        <v>11981.399682696</v>
      </c>
    </row>
    <row r="18" spans="1:34">
      <c r="A18" s="24">
        <v>0</v>
      </c>
      <c r="B18" s="25">
        <v>0</v>
      </c>
      <c r="C18" s="25">
        <v>0</v>
      </c>
      <c r="D18" s="25">
        <v>0</v>
      </c>
      <c r="E18" s="25">
        <v>0</v>
      </c>
      <c r="F18" s="25">
        <v>2</v>
      </c>
      <c r="G18" s="25">
        <v>0</v>
      </c>
      <c r="H18" s="25">
        <v>0</v>
      </c>
      <c r="I18" s="29">
        <v>0</v>
      </c>
      <c r="J18" s="24">
        <v>0</v>
      </c>
      <c r="K18" s="25">
        <v>1</v>
      </c>
      <c r="L18" s="25">
        <v>0</v>
      </c>
      <c r="M18" s="25">
        <v>0</v>
      </c>
      <c r="N18" s="25">
        <v>0</v>
      </c>
      <c r="O18" s="25">
        <v>0</v>
      </c>
      <c r="P18" s="25">
        <v>1</v>
      </c>
      <c r="Q18" s="25">
        <v>0</v>
      </c>
      <c r="R18" s="29">
        <v>0</v>
      </c>
      <c r="S18" s="24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9">
        <v>0</v>
      </c>
      <c r="AB18" s="32">
        <v>130000000</v>
      </c>
      <c r="AC18" s="21">
        <v>0</v>
      </c>
      <c r="AD18" s="21">
        <v>-819.849</v>
      </c>
      <c r="AE18" s="38">
        <v>14</v>
      </c>
      <c r="AF18">
        <f t="shared" si="0"/>
        <v>130000000000</v>
      </c>
      <c r="AG18">
        <f t="shared" si="1"/>
        <v>0</v>
      </c>
      <c r="AH18" s="43">
        <f t="shared" si="2"/>
        <v>-1629.21670864962</v>
      </c>
    </row>
    <row r="19" spans="1:34">
      <c r="A19" s="24">
        <v>0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1</v>
      </c>
      <c r="H19" s="25">
        <v>0</v>
      </c>
      <c r="I19" s="29">
        <v>0</v>
      </c>
      <c r="J19" s="24">
        <v>0</v>
      </c>
      <c r="K19" s="25">
        <v>0</v>
      </c>
      <c r="L19" s="25">
        <v>0</v>
      </c>
      <c r="M19" s="25">
        <v>0</v>
      </c>
      <c r="N19" s="25">
        <v>2</v>
      </c>
      <c r="O19" s="25">
        <v>0</v>
      </c>
      <c r="P19" s="25">
        <v>0</v>
      </c>
      <c r="Q19" s="25">
        <v>0</v>
      </c>
      <c r="R19" s="29">
        <v>0</v>
      </c>
      <c r="S19" s="24">
        <v>2.5</v>
      </c>
      <c r="T19" s="25">
        <v>1</v>
      </c>
      <c r="U19" s="25">
        <v>1</v>
      </c>
      <c r="V19" s="25">
        <v>1</v>
      </c>
      <c r="W19" s="25">
        <v>1</v>
      </c>
      <c r="X19" s="25">
        <v>1</v>
      </c>
      <c r="Y19" s="25">
        <v>1</v>
      </c>
      <c r="Z19" s="25">
        <v>12</v>
      </c>
      <c r="AA19" s="29">
        <v>1</v>
      </c>
      <c r="AB19" s="32">
        <v>120200000000000</v>
      </c>
      <c r="AC19" s="21">
        <v>0</v>
      </c>
      <c r="AD19" s="21">
        <v>22895.2</v>
      </c>
      <c r="AE19" s="38">
        <v>15</v>
      </c>
      <c r="AF19">
        <f t="shared" si="0"/>
        <v>1.202e+17</v>
      </c>
      <c r="AG19">
        <f t="shared" si="1"/>
        <v>0</v>
      </c>
      <c r="AH19" s="43">
        <f t="shared" si="2"/>
        <v>45497.6982198853</v>
      </c>
    </row>
    <row r="20" spans="1:34">
      <c r="A20" s="24">
        <v>0</v>
      </c>
      <c r="B20" s="25">
        <v>0</v>
      </c>
      <c r="C20" s="25">
        <v>0</v>
      </c>
      <c r="D20" s="25">
        <v>1</v>
      </c>
      <c r="E20" s="25">
        <v>0</v>
      </c>
      <c r="F20" s="25">
        <v>0</v>
      </c>
      <c r="G20" s="25">
        <v>1</v>
      </c>
      <c r="H20" s="25">
        <v>0</v>
      </c>
      <c r="I20" s="29">
        <v>0</v>
      </c>
      <c r="J20" s="24">
        <v>0</v>
      </c>
      <c r="K20" s="25">
        <v>0</v>
      </c>
      <c r="L20" s="25">
        <v>0</v>
      </c>
      <c r="M20" s="25">
        <v>0</v>
      </c>
      <c r="N20" s="25">
        <v>1</v>
      </c>
      <c r="O20" s="25">
        <v>0</v>
      </c>
      <c r="P20" s="25">
        <v>0</v>
      </c>
      <c r="Q20" s="25">
        <v>1</v>
      </c>
      <c r="R20" s="29">
        <v>0</v>
      </c>
      <c r="S20" s="24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9">
        <v>0</v>
      </c>
      <c r="AB20" s="32">
        <v>24100000000</v>
      </c>
      <c r="AC20" s="21">
        <v>0</v>
      </c>
      <c r="AD20" s="21">
        <v>1997.67</v>
      </c>
      <c r="AE20" s="38">
        <v>16</v>
      </c>
      <c r="AF20">
        <f t="shared" si="0"/>
        <v>24100000000000</v>
      </c>
      <c r="AG20">
        <f t="shared" si="1"/>
        <v>0</v>
      </c>
      <c r="AH20" s="43">
        <f t="shared" si="2"/>
        <v>3969.8009540392</v>
      </c>
    </row>
    <row r="21" spans="1:34">
      <c r="A21" s="24">
        <v>0</v>
      </c>
      <c r="B21" s="25">
        <v>0</v>
      </c>
      <c r="C21" s="25">
        <v>0</v>
      </c>
      <c r="D21" s="25">
        <v>1</v>
      </c>
      <c r="E21" s="25">
        <v>0</v>
      </c>
      <c r="F21" s="25">
        <v>0</v>
      </c>
      <c r="G21" s="25">
        <v>1</v>
      </c>
      <c r="H21" s="25">
        <v>0</v>
      </c>
      <c r="I21" s="29">
        <v>0</v>
      </c>
      <c r="J21" s="24">
        <v>1</v>
      </c>
      <c r="K21" s="25">
        <v>0</v>
      </c>
      <c r="L21" s="25">
        <v>0</v>
      </c>
      <c r="M21" s="25">
        <v>0</v>
      </c>
      <c r="N21" s="25">
        <v>0</v>
      </c>
      <c r="O21" s="25">
        <v>1</v>
      </c>
      <c r="P21" s="25">
        <v>0</v>
      </c>
      <c r="Q21" s="25">
        <v>0</v>
      </c>
      <c r="R21" s="29">
        <v>0</v>
      </c>
      <c r="S21" s="24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9">
        <v>0</v>
      </c>
      <c r="AB21" s="32">
        <v>48200000000</v>
      </c>
      <c r="AC21" s="21">
        <v>0</v>
      </c>
      <c r="AD21" s="21">
        <v>4000.37</v>
      </c>
      <c r="AE21" s="38">
        <v>17</v>
      </c>
      <c r="AF21">
        <f t="shared" si="0"/>
        <v>48200000000000</v>
      </c>
      <c r="AG21">
        <f t="shared" si="1"/>
        <v>0</v>
      </c>
      <c r="AH21" s="43">
        <f t="shared" si="2"/>
        <v>7949.59760246176</v>
      </c>
    </row>
    <row r="22" spans="1:34">
      <c r="A22" s="24">
        <v>0</v>
      </c>
      <c r="B22" s="25">
        <v>0</v>
      </c>
      <c r="C22" s="25">
        <v>1</v>
      </c>
      <c r="D22" s="25">
        <v>0</v>
      </c>
      <c r="E22" s="25">
        <v>0</v>
      </c>
      <c r="F22" s="25">
        <v>0</v>
      </c>
      <c r="G22" s="25">
        <v>1</v>
      </c>
      <c r="H22" s="25">
        <v>0</v>
      </c>
      <c r="I22" s="29">
        <v>0</v>
      </c>
      <c r="J22" s="24">
        <v>0</v>
      </c>
      <c r="K22" s="25">
        <v>0</v>
      </c>
      <c r="L22" s="25">
        <v>0</v>
      </c>
      <c r="M22" s="25">
        <v>0</v>
      </c>
      <c r="N22" s="25">
        <v>1</v>
      </c>
      <c r="O22" s="25">
        <v>1</v>
      </c>
      <c r="P22" s="25">
        <v>0</v>
      </c>
      <c r="Q22" s="25">
        <v>0</v>
      </c>
      <c r="R22" s="29">
        <v>0</v>
      </c>
      <c r="S22" s="24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9">
        <v>0</v>
      </c>
      <c r="AB22" s="32">
        <v>9550</v>
      </c>
      <c r="AC22" s="21">
        <v>2</v>
      </c>
      <c r="AD22" s="21">
        <v>1997.67</v>
      </c>
      <c r="AE22" s="38">
        <v>18</v>
      </c>
      <c r="AF22">
        <f t="shared" si="0"/>
        <v>9550000</v>
      </c>
      <c r="AG22">
        <f t="shared" si="1"/>
        <v>2</v>
      </c>
      <c r="AH22" s="43">
        <f t="shared" si="2"/>
        <v>3969.8009540392</v>
      </c>
    </row>
    <row r="23" spans="1:34">
      <c r="A23" s="24">
        <v>0</v>
      </c>
      <c r="B23" s="25">
        <v>0</v>
      </c>
      <c r="C23" s="25">
        <v>0</v>
      </c>
      <c r="D23" s="25">
        <v>0</v>
      </c>
      <c r="E23" s="25">
        <v>1</v>
      </c>
      <c r="F23" s="25">
        <v>0</v>
      </c>
      <c r="G23" s="25">
        <v>1</v>
      </c>
      <c r="H23" s="25">
        <v>0</v>
      </c>
      <c r="I23" s="29">
        <v>0</v>
      </c>
      <c r="J23" s="24">
        <v>0</v>
      </c>
      <c r="K23" s="25">
        <v>0</v>
      </c>
      <c r="L23" s="25">
        <v>0</v>
      </c>
      <c r="M23" s="25">
        <v>0</v>
      </c>
      <c r="N23" s="25">
        <v>0</v>
      </c>
      <c r="O23" s="25">
        <v>1</v>
      </c>
      <c r="P23" s="25">
        <v>0</v>
      </c>
      <c r="Q23" s="25">
        <v>1</v>
      </c>
      <c r="R23" s="29">
        <v>0</v>
      </c>
      <c r="S23" s="24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9">
        <v>0</v>
      </c>
      <c r="AB23" s="32">
        <v>1000000000</v>
      </c>
      <c r="AC23" s="21">
        <v>0</v>
      </c>
      <c r="AD23" s="21">
        <v>0</v>
      </c>
      <c r="AE23" s="38">
        <v>19</v>
      </c>
      <c r="AF23">
        <f t="shared" si="0"/>
        <v>1000000000000</v>
      </c>
      <c r="AG23">
        <f t="shared" si="1"/>
        <v>0</v>
      </c>
      <c r="AH23" s="43">
        <f t="shared" si="2"/>
        <v>0</v>
      </c>
    </row>
    <row r="24" ht="14.25" spans="1:34">
      <c r="A24" s="26">
        <v>0</v>
      </c>
      <c r="B24" s="27">
        <v>0</v>
      </c>
      <c r="C24" s="27">
        <v>0</v>
      </c>
      <c r="D24" s="27">
        <v>0</v>
      </c>
      <c r="E24" s="27">
        <v>1</v>
      </c>
      <c r="F24" s="27">
        <v>0</v>
      </c>
      <c r="G24" s="27">
        <v>1</v>
      </c>
      <c r="H24" s="27">
        <v>0</v>
      </c>
      <c r="I24" s="30">
        <v>0</v>
      </c>
      <c r="J24" s="26">
        <v>0</v>
      </c>
      <c r="K24" s="27">
        <v>0</v>
      </c>
      <c r="L24" s="27">
        <v>0</v>
      </c>
      <c r="M24" s="27">
        <v>0</v>
      </c>
      <c r="N24" s="27">
        <v>0</v>
      </c>
      <c r="O24" s="27">
        <v>1</v>
      </c>
      <c r="P24" s="27">
        <v>0</v>
      </c>
      <c r="Q24" s="27">
        <v>1</v>
      </c>
      <c r="R24" s="30">
        <v>0</v>
      </c>
      <c r="S24" s="26">
        <v>0</v>
      </c>
      <c r="T24" s="27">
        <v>0</v>
      </c>
      <c r="U24" s="27">
        <v>0</v>
      </c>
      <c r="V24" s="27">
        <v>0</v>
      </c>
      <c r="W24" s="27">
        <v>0</v>
      </c>
      <c r="X24" s="27">
        <v>0</v>
      </c>
      <c r="Y24" s="27">
        <v>0</v>
      </c>
      <c r="Z24" s="27">
        <v>0</v>
      </c>
      <c r="AA24" s="30">
        <v>0</v>
      </c>
      <c r="AB24" s="34">
        <v>580000000000</v>
      </c>
      <c r="AC24" s="39">
        <v>0</v>
      </c>
      <c r="AD24" s="39">
        <v>4809</v>
      </c>
      <c r="AE24" s="40">
        <v>20</v>
      </c>
      <c r="AF24" s="41">
        <f t="shared" si="0"/>
        <v>580000000000000</v>
      </c>
      <c r="AG24" s="41">
        <f t="shared" si="1"/>
        <v>0</v>
      </c>
      <c r="AH24" s="44">
        <f t="shared" si="2"/>
        <v>9556.51973948375</v>
      </c>
    </row>
    <row r="69" spans="1:10">
      <c r="A69" s="1"/>
      <c r="D69" s="1"/>
      <c r="E69" s="1"/>
      <c r="G69" s="1"/>
      <c r="H69" s="1"/>
      <c r="I69" s="1"/>
      <c r="J69" t="s">
        <v>15</v>
      </c>
    </row>
    <row r="70" spans="1:18">
      <c r="A70" s="1"/>
      <c r="D70" s="1"/>
      <c r="E70" s="1"/>
      <c r="G70" s="1"/>
      <c r="H70" s="1"/>
      <c r="I70" s="1"/>
      <c r="J70" t="s">
        <v>3</v>
      </c>
      <c r="K70" t="s">
        <v>0</v>
      </c>
      <c r="L70" t="s">
        <v>2</v>
      </c>
      <c r="M70" t="s">
        <v>4</v>
      </c>
      <c r="N70" t="s">
        <v>7</v>
      </c>
      <c r="O70" t="s">
        <v>1</v>
      </c>
      <c r="P70" t="s">
        <v>5</v>
      </c>
      <c r="Q70" t="s">
        <v>6</v>
      </c>
      <c r="R70" t="s">
        <v>16</v>
      </c>
    </row>
    <row r="71" spans="1:9">
      <c r="A71" s="1" t="s">
        <v>17</v>
      </c>
      <c r="D71" s="1"/>
      <c r="E71" s="1"/>
      <c r="G71" s="1"/>
      <c r="H71" s="1"/>
      <c r="I71" s="1"/>
    </row>
    <row r="72" spans="1:9">
      <c r="A72" s="1" t="s">
        <v>17</v>
      </c>
      <c r="D72" s="1"/>
      <c r="E72" s="1"/>
      <c r="G72" s="1"/>
      <c r="H72" s="1"/>
      <c r="I72" s="1"/>
    </row>
    <row r="73" spans="1:9">
      <c r="A73" s="1"/>
      <c r="D73" s="1"/>
      <c r="E73" s="1"/>
      <c r="G73" s="1"/>
      <c r="H73" s="1"/>
      <c r="I73" s="1"/>
    </row>
    <row r="74" spans="1:9">
      <c r="A74" s="1"/>
      <c r="D74" s="1"/>
      <c r="E74" s="1"/>
      <c r="G74" s="1"/>
      <c r="H74" s="1"/>
      <c r="I74" s="1"/>
    </row>
    <row r="75" spans="1:9">
      <c r="A75" s="1"/>
      <c r="D75" s="1"/>
      <c r="E75" s="1"/>
      <c r="G75" s="1"/>
      <c r="H75" s="1"/>
      <c r="I75" s="1"/>
    </row>
    <row r="76" spans="1:9">
      <c r="A76" s="1"/>
      <c r="D76" s="1"/>
      <c r="E76" s="1"/>
      <c r="G76" s="1"/>
      <c r="H76" s="1"/>
      <c r="I76" s="1"/>
    </row>
    <row r="77" spans="1:9">
      <c r="A77" s="1"/>
      <c r="D77" s="1"/>
      <c r="E77" s="1"/>
      <c r="G77" s="1"/>
      <c r="H77" s="1"/>
      <c r="I77" s="1"/>
    </row>
    <row r="78" spans="1:9">
      <c r="A78" s="1" t="s">
        <v>17</v>
      </c>
      <c r="D78" s="1"/>
      <c r="E78" s="1"/>
      <c r="G78" s="1"/>
      <c r="H78" s="1"/>
      <c r="I78" s="1"/>
    </row>
    <row r="79" spans="1:9">
      <c r="A79" s="1" t="s">
        <v>17</v>
      </c>
      <c r="D79" s="1"/>
      <c r="E79" s="1"/>
      <c r="G79" s="1"/>
      <c r="H79" s="1"/>
      <c r="I79" s="1"/>
    </row>
    <row r="80" spans="1:9">
      <c r="A80" s="1"/>
      <c r="D80" s="1"/>
      <c r="E80" s="1"/>
      <c r="G80" s="1"/>
      <c r="H80" s="1"/>
      <c r="I80" s="1"/>
    </row>
    <row r="81" spans="1:9">
      <c r="A81" s="1" t="s">
        <v>17</v>
      </c>
      <c r="D81" s="1"/>
      <c r="E81" s="1"/>
      <c r="G81" s="1"/>
      <c r="H81" s="1"/>
      <c r="I81" s="1"/>
    </row>
    <row r="82" spans="1:9">
      <c r="A82" s="1" t="s">
        <v>17</v>
      </c>
      <c r="D82" s="1"/>
      <c r="E82" s="1"/>
      <c r="G82" s="1"/>
      <c r="H82" s="1"/>
      <c r="I82" s="1"/>
    </row>
    <row r="83" spans="1:9">
      <c r="A83" s="1"/>
      <c r="D83" s="1"/>
      <c r="E83" s="1"/>
      <c r="G83" s="1"/>
      <c r="H83" s="1"/>
      <c r="I83" s="1"/>
    </row>
    <row r="84" spans="1:9">
      <c r="A84" s="1"/>
      <c r="D84" s="1"/>
      <c r="E84" s="1"/>
      <c r="G84" s="1"/>
      <c r="H84" s="1"/>
      <c r="I84" s="1"/>
    </row>
    <row r="85" spans="1:9">
      <c r="A85" s="1"/>
      <c r="D85" s="1"/>
      <c r="E85" s="1"/>
      <c r="G85" s="1"/>
      <c r="H85" s="1"/>
      <c r="I85" s="1"/>
    </row>
    <row r="86" spans="1:9">
      <c r="A86" s="1" t="s">
        <v>17</v>
      </c>
      <c r="D86" s="1"/>
      <c r="E86" s="1"/>
      <c r="G86" s="1"/>
      <c r="H86" s="1"/>
      <c r="I86" s="1"/>
    </row>
    <row r="87" spans="1:9">
      <c r="A87" s="1" t="s">
        <v>17</v>
      </c>
      <c r="D87" s="1"/>
      <c r="E87" s="1"/>
      <c r="G87" s="1"/>
      <c r="H87" s="1"/>
      <c r="I87" s="1"/>
    </row>
    <row r="88" spans="1:9">
      <c r="A88" s="1"/>
      <c r="D88" s="1"/>
      <c r="E88" s="1"/>
      <c r="G88" s="1"/>
      <c r="H88" s="1"/>
      <c r="I88" s="1"/>
    </row>
    <row r="89" spans="1:9">
      <c r="A89" s="1" t="s">
        <v>17</v>
      </c>
      <c r="D89" s="1"/>
      <c r="E89" s="1"/>
      <c r="G89" s="1"/>
      <c r="H89" s="1"/>
      <c r="I89" s="1"/>
    </row>
    <row r="90" spans="1:9">
      <c r="A90" s="1" t="s">
        <v>17</v>
      </c>
      <c r="D90" s="1"/>
      <c r="E90" s="1"/>
      <c r="G90" s="1"/>
      <c r="H90" s="1"/>
      <c r="I90" s="1"/>
    </row>
  </sheetData>
  <mergeCells count="2">
    <mergeCell ref="AB1:AD1"/>
    <mergeCell ref="AF1:A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13" sqref="A13"/>
    </sheetView>
  </sheetViews>
  <sheetFormatPr defaultColWidth="8.83333333333333" defaultRowHeight="13.5" outlineLevelCol="2"/>
  <cols>
    <col min="7" max="7" width="9.33333333333333" customWidth="1"/>
  </cols>
  <sheetData>
    <row r="1" spans="1:2">
      <c r="A1" t="s">
        <v>16</v>
      </c>
      <c r="B1" t="s">
        <v>18</v>
      </c>
    </row>
    <row r="3" spans="1:1">
      <c r="A3" s="1" t="s">
        <v>11</v>
      </c>
    </row>
    <row r="4" spans="1:2">
      <c r="A4">
        <v>2</v>
      </c>
      <c r="B4">
        <v>0</v>
      </c>
    </row>
    <row r="5" spans="1:2">
      <c r="A5">
        <v>1</v>
      </c>
      <c r="B5">
        <v>1</v>
      </c>
    </row>
    <row r="6" spans="1:1">
      <c r="A6" s="1" t="s">
        <v>12</v>
      </c>
    </row>
    <row r="7" spans="1:2">
      <c r="A7">
        <v>1</v>
      </c>
      <c r="B7">
        <v>2</v>
      </c>
    </row>
    <row r="8" spans="1:2">
      <c r="A8">
        <v>0</v>
      </c>
      <c r="B8">
        <v>3</v>
      </c>
    </row>
    <row r="9" spans="1:1">
      <c r="A9" s="1" t="s">
        <v>13</v>
      </c>
    </row>
    <row r="10" spans="1:2">
      <c r="A10">
        <v>0</v>
      </c>
      <c r="B10">
        <v>0</v>
      </c>
    </row>
    <row r="11" spans="1:2">
      <c r="A11">
        <v>0</v>
      </c>
      <c r="B11">
        <v>0</v>
      </c>
    </row>
    <row r="12" spans="1:1">
      <c r="A12" s="1" t="s">
        <v>14</v>
      </c>
    </row>
    <row r="13" spans="1:3">
      <c r="A13" s="19">
        <v>3.7e+21</v>
      </c>
      <c r="B13">
        <v>-1.6</v>
      </c>
      <c r="C13">
        <v>113200</v>
      </c>
    </row>
    <row r="14" spans="1:3">
      <c r="A14" s="19">
        <v>1.66e+22</v>
      </c>
      <c r="B14">
        <v>-1.6</v>
      </c>
      <c r="C14">
        <v>113200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1"/>
  <sheetViews>
    <sheetView workbookViewId="0">
      <selection activeCell="A1" sqref="A1"/>
    </sheetView>
  </sheetViews>
  <sheetFormatPr defaultColWidth="8.83333333333333" defaultRowHeight="13.5"/>
  <cols>
    <col min="1" max="1" width="9.33333333333333" style="1" customWidth="1"/>
    <col min="2" max="2" width="9" style="1" customWidth="1"/>
    <col min="3" max="3" width="9.5" style="1" customWidth="1"/>
    <col min="4" max="9" width="8.83333333333333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16</v>
      </c>
    </row>
    <row r="2" ht="13.25" customHeight="1" spans="1:10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</row>
    <row r="3" ht="13.25" customHeight="1" spans="1:10">
      <c r="A3" s="1">
        <v>6</v>
      </c>
      <c r="B3" s="1">
        <v>3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11</v>
      </c>
      <c r="J3" s="1">
        <v>0</v>
      </c>
    </row>
    <row r="4" spans="1:9">
      <c r="A4" s="1">
        <v>2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7</v>
      </c>
    </row>
    <row r="5" spans="1:9">
      <c r="A5" s="1">
        <v>2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7</v>
      </c>
    </row>
    <row r="6" spans="1:1">
      <c r="A6" s="1" t="s">
        <v>11</v>
      </c>
    </row>
    <row r="7" spans="1:10">
      <c r="A7" s="1">
        <v>1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>
      <c r="A8" s="1">
        <v>1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>
      <c r="A9" s="1">
        <v>0</v>
      </c>
      <c r="B9" s="1">
        <v>1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>
      <c r="A10" s="1">
        <v>1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>
      <c r="A11" s="1">
        <v>0</v>
      </c>
      <c r="B11" s="1">
        <v>1</v>
      </c>
      <c r="C11" s="1">
        <v>0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>
      <c r="A12" s="1">
        <v>0</v>
      </c>
      <c r="B12" s="1">
        <v>2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>
      <c r="A13" s="1">
        <v>0</v>
      </c>
      <c r="B13" s="1">
        <v>0</v>
      </c>
      <c r="C13" s="1">
        <v>0</v>
      </c>
      <c r="D13" s="1">
        <v>0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</row>
    <row r="14" spans="1:10">
      <c r="A14" s="1">
        <v>0</v>
      </c>
      <c r="B14" s="1">
        <v>0</v>
      </c>
      <c r="C14" s="1">
        <v>0</v>
      </c>
      <c r="D14" s="1">
        <v>1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</row>
    <row r="15" spans="1:10">
      <c r="A15" s="1">
        <v>0</v>
      </c>
      <c r="B15" s="1">
        <v>0</v>
      </c>
      <c r="C15" s="1">
        <v>1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</row>
    <row r="16" spans="1:10">
      <c r="A16" s="1">
        <v>0</v>
      </c>
      <c r="B16" s="1">
        <v>0</v>
      </c>
      <c r="C16" s="1">
        <v>0</v>
      </c>
      <c r="D16" s="1">
        <v>0</v>
      </c>
      <c r="E16" s="1">
        <v>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>
      <c r="A17" s="1">
        <v>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>
      <c r="A18" s="1">
        <v>0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>
      <c r="A19" s="1">
        <v>0</v>
      </c>
      <c r="B19" s="1">
        <v>0</v>
      </c>
      <c r="C19" s="1">
        <v>0</v>
      </c>
      <c r="D19" s="1">
        <v>1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>
      <c r="A20" s="1">
        <v>0</v>
      </c>
      <c r="B20" s="1">
        <v>0</v>
      </c>
      <c r="C20" s="1">
        <v>0</v>
      </c>
      <c r="D20" s="1">
        <v>1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</row>
    <row r="21" spans="1:10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2</v>
      </c>
      <c r="G21" s="1">
        <v>0</v>
      </c>
      <c r="H21" s="1">
        <v>0</v>
      </c>
      <c r="I21" s="1">
        <v>0</v>
      </c>
      <c r="J21" s="1">
        <v>0</v>
      </c>
    </row>
    <row r="22" spans="1:10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</row>
    <row r="23" spans="1:10">
      <c r="A23" s="1">
        <v>0</v>
      </c>
      <c r="B23" s="1">
        <v>0</v>
      </c>
      <c r="C23" s="1">
        <v>0</v>
      </c>
      <c r="D23" s="1">
        <v>1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</row>
    <row r="24" spans="1:10">
      <c r="A24" s="1">
        <v>0</v>
      </c>
      <c r="B24" s="1">
        <v>0</v>
      </c>
      <c r="C24" s="1">
        <v>0</v>
      </c>
      <c r="D24" s="1">
        <v>0</v>
      </c>
      <c r="E24" s="1">
        <v>1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</row>
    <row r="25" spans="1:1">
      <c r="A25" s="1" t="s">
        <v>12</v>
      </c>
    </row>
    <row r="26" spans="1:10">
      <c r="A26" s="1">
        <v>0</v>
      </c>
      <c r="B26" s="1">
        <v>0</v>
      </c>
      <c r="C26" s="1">
        <v>0</v>
      </c>
      <c r="D26" s="1">
        <v>0</v>
      </c>
      <c r="E26" s="1">
        <v>2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>
      <c r="A27" s="1">
        <v>0</v>
      </c>
      <c r="B27" s="1">
        <v>0</v>
      </c>
      <c r="C27" s="1">
        <v>0</v>
      </c>
      <c r="D27" s="1">
        <v>1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</row>
    <row r="28" spans="1:10">
      <c r="A28" s="1">
        <v>0</v>
      </c>
      <c r="B28" s="1">
        <v>0</v>
      </c>
      <c r="C28" s="1">
        <v>1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>
      <c r="A29" s="1">
        <v>0</v>
      </c>
      <c r="B29" s="1">
        <v>0</v>
      </c>
      <c r="C29" s="1">
        <v>0</v>
      </c>
      <c r="D29" s="1">
        <v>1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</row>
    <row r="31" spans="1:10">
      <c r="A31" s="1">
        <v>0</v>
      </c>
      <c r="B31" s="1">
        <v>1</v>
      </c>
      <c r="C31" s="1">
        <v>0</v>
      </c>
      <c r="D31" s="1">
        <v>0</v>
      </c>
      <c r="E31" s="1">
        <v>0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</row>
    <row r="32" spans="1:10">
      <c r="A32" s="1">
        <v>0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0</v>
      </c>
      <c r="J32" s="1">
        <v>0</v>
      </c>
    </row>
    <row r="33" spans="1:10">
      <c r="A33" s="1">
        <v>0</v>
      </c>
      <c r="B33" s="1">
        <v>0</v>
      </c>
      <c r="C33" s="1">
        <v>0</v>
      </c>
      <c r="D33" s="1">
        <v>0</v>
      </c>
      <c r="E33" s="1">
        <v>2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>
      <c r="A34" s="1">
        <v>0</v>
      </c>
      <c r="B34" s="1">
        <v>1</v>
      </c>
      <c r="C34" s="1">
        <v>0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>
      <c r="A35" s="1">
        <v>0</v>
      </c>
      <c r="B35" s="1">
        <v>0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  <c r="J35" s="1">
        <v>0</v>
      </c>
    </row>
    <row r="36" spans="1:10">
      <c r="A36" s="1">
        <v>0</v>
      </c>
      <c r="B36" s="1">
        <v>0</v>
      </c>
      <c r="C36" s="1">
        <v>0</v>
      </c>
      <c r="D36" s="1">
        <v>2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>
      <c r="A37" s="1">
        <v>0</v>
      </c>
      <c r="B37" s="1">
        <v>0</v>
      </c>
      <c r="C37" s="1">
        <v>2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</row>
    <row r="39" spans="1:10">
      <c r="A39" s="1">
        <v>1</v>
      </c>
      <c r="B39" s="1">
        <v>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>
      <c r="A40" s="1">
        <v>0</v>
      </c>
      <c r="B40" s="1">
        <v>1</v>
      </c>
      <c r="C40" s="1">
        <v>0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</row>
    <row r="41" spans="1:10">
      <c r="A41" s="1">
        <v>0</v>
      </c>
      <c r="B41" s="1">
        <v>0</v>
      </c>
      <c r="C41" s="1">
        <v>0</v>
      </c>
      <c r="D41" s="1">
        <v>0</v>
      </c>
      <c r="E41" s="1">
        <v>2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>
      <c r="A42" s="1">
        <v>1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</row>
    <row r="43" spans="1:10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1</v>
      </c>
      <c r="G43" s="1">
        <v>0</v>
      </c>
      <c r="H43" s="1">
        <v>1</v>
      </c>
      <c r="I43" s="1">
        <v>0</v>
      </c>
      <c r="J43" s="1">
        <v>0</v>
      </c>
    </row>
    <row r="44" spans="1:1">
      <c r="A44" s="1" t="s">
        <v>13</v>
      </c>
    </row>
    <row r="45" spans="1:10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>
      <c r="A49" s="1">
        <v>3.3</v>
      </c>
      <c r="B49" s="1">
        <v>0</v>
      </c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21</v>
      </c>
      <c r="I49" s="1">
        <v>1</v>
      </c>
      <c r="J49" s="1">
        <v>1</v>
      </c>
    </row>
    <row r="50" spans="1:10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>
      <c r="A55" s="1">
        <v>3</v>
      </c>
      <c r="B55" s="1">
        <v>1</v>
      </c>
      <c r="C55" s="1">
        <v>1</v>
      </c>
      <c r="D55" s="1">
        <v>2</v>
      </c>
      <c r="E55" s="1">
        <v>1</v>
      </c>
      <c r="F55" s="1">
        <v>1</v>
      </c>
      <c r="G55" s="1">
        <v>1</v>
      </c>
      <c r="H55" s="1">
        <v>6</v>
      </c>
      <c r="I55" s="1">
        <v>1</v>
      </c>
      <c r="J55" s="1">
        <v>1</v>
      </c>
    </row>
    <row r="56" spans="1:10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</row>
    <row r="57" spans="1:10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20</v>
      </c>
      <c r="I57" s="1">
        <v>1</v>
      </c>
      <c r="J57" s="1">
        <v>1</v>
      </c>
    </row>
    <row r="58" spans="1:10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</row>
    <row r="61" spans="1:10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">
      <c r="A63" s="1" t="s">
        <v>14</v>
      </c>
    </row>
    <row r="64" spans="1:3">
      <c r="A64" s="7">
        <v>17000000000000</v>
      </c>
      <c r="B64" s="18">
        <v>0</v>
      </c>
      <c r="C64" s="8">
        <v>47780</v>
      </c>
    </row>
    <row r="65" spans="1:3">
      <c r="A65" s="7">
        <v>1170000000</v>
      </c>
      <c r="B65" s="18">
        <v>1.3</v>
      </c>
      <c r="C65" s="8">
        <v>3626</v>
      </c>
    </row>
    <row r="66" spans="1:3">
      <c r="A66" s="7">
        <v>5.13e+16</v>
      </c>
      <c r="B66" s="18">
        <v>-0.8</v>
      </c>
      <c r="C66" s="8">
        <v>16507</v>
      </c>
    </row>
    <row r="67" spans="1:3">
      <c r="A67" s="7">
        <v>18000000000</v>
      </c>
      <c r="B67" s="18">
        <v>1</v>
      </c>
      <c r="C67" s="8">
        <v>8826</v>
      </c>
    </row>
    <row r="68" spans="1:3">
      <c r="A68" s="7">
        <v>2.1e+18</v>
      </c>
      <c r="B68" s="18">
        <v>-1</v>
      </c>
      <c r="C68" s="8">
        <v>0</v>
      </c>
    </row>
    <row r="69" spans="1:3">
      <c r="A69" s="7">
        <v>6.7e+19</v>
      </c>
      <c r="B69" s="18">
        <v>-1.4</v>
      </c>
      <c r="C69" s="8">
        <v>0</v>
      </c>
    </row>
    <row r="70" spans="1:3">
      <c r="A70" s="7">
        <v>50000000000000</v>
      </c>
      <c r="B70" s="18">
        <v>0</v>
      </c>
      <c r="C70" s="8">
        <v>1000</v>
      </c>
    </row>
    <row r="71" spans="1:3">
      <c r="A71" s="7">
        <v>250000000000000</v>
      </c>
      <c r="B71" s="18">
        <v>0</v>
      </c>
      <c r="C71" s="8">
        <v>1900</v>
      </c>
    </row>
    <row r="72" spans="1:3">
      <c r="A72" s="7">
        <v>48000000000000</v>
      </c>
      <c r="B72" s="18">
        <v>0</v>
      </c>
      <c r="C72" s="8">
        <v>1000</v>
      </c>
    </row>
    <row r="73" spans="1:3">
      <c r="A73" s="7">
        <v>600000000</v>
      </c>
      <c r="B73" s="18">
        <v>1.3</v>
      </c>
      <c r="C73" s="8">
        <v>0</v>
      </c>
    </row>
    <row r="74" spans="1:3">
      <c r="A74" s="7">
        <v>2230000000000</v>
      </c>
      <c r="B74" s="18">
        <v>0.5</v>
      </c>
      <c r="C74" s="8">
        <v>92600</v>
      </c>
    </row>
    <row r="75" spans="1:3">
      <c r="A75" s="7">
        <v>185000000000</v>
      </c>
      <c r="B75" s="18">
        <v>0.5</v>
      </c>
      <c r="C75" s="8">
        <v>95560</v>
      </c>
    </row>
    <row r="76" spans="1:3">
      <c r="A76" s="7">
        <v>7.5e+23</v>
      </c>
      <c r="B76" s="18">
        <v>-2.6</v>
      </c>
      <c r="C76" s="8">
        <v>0</v>
      </c>
    </row>
    <row r="77" spans="1:3">
      <c r="A77" s="7">
        <v>25000000000000</v>
      </c>
      <c r="B77" s="18">
        <v>0</v>
      </c>
      <c r="C77" s="8">
        <v>700</v>
      </c>
    </row>
    <row r="78" spans="1:3">
      <c r="A78" s="7">
        <v>2000000000000</v>
      </c>
      <c r="B78" s="18">
        <v>0</v>
      </c>
      <c r="C78" s="8">
        <v>0</v>
      </c>
    </row>
    <row r="79" spans="1:3">
      <c r="A79" s="7">
        <v>1.3e+17</v>
      </c>
      <c r="B79" s="18">
        <v>0</v>
      </c>
      <c r="C79" s="8">
        <v>45500</v>
      </c>
    </row>
    <row r="80" spans="1:3">
      <c r="A80" s="7">
        <v>1600000000000</v>
      </c>
      <c r="B80" s="18">
        <v>0</v>
      </c>
      <c r="C80" s="8">
        <v>3800</v>
      </c>
    </row>
    <row r="81" spans="1:3">
      <c r="A81" s="7">
        <v>10000000000000</v>
      </c>
      <c r="B81" s="18">
        <v>0</v>
      </c>
      <c r="C81" s="8">
        <v>1800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workbookViewId="0">
      <selection activeCell="B5" sqref="B5"/>
    </sheetView>
  </sheetViews>
  <sheetFormatPr defaultColWidth="8.83333333333333" defaultRowHeight="13.5"/>
  <cols>
    <col min="2" max="2" width="9" customWidth="1"/>
    <col min="3" max="3" width="10.5" customWidth="1"/>
  </cols>
  <sheetData>
    <row r="1" spans="1:1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16</v>
      </c>
    </row>
    <row r="2" spans="1:9">
      <c r="A2">
        <v>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</v>
      </c>
    </row>
    <row r="3" spans="4:4">
      <c r="D3" t="s">
        <v>11</v>
      </c>
    </row>
    <row r="4" spans="1:10">
      <c r="A4">
        <v>0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1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1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</row>
    <row r="8" spans="1:10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</row>
    <row r="27" spans="4:4">
      <c r="D27" t="s">
        <v>12</v>
      </c>
    </row>
    <row r="28" spans="1:10">
      <c r="A28">
        <v>0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</row>
    <row r="38" spans="1:10">
      <c r="A38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1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</row>
    <row r="42" spans="1:10">
      <c r="A42">
        <v>0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</row>
    <row r="43" spans="1:10">
      <c r="A43">
        <v>0</v>
      </c>
      <c r="B43">
        <v>1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</row>
    <row r="47" spans="1:10">
      <c r="A47">
        <v>1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1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>
        <v>0</v>
      </c>
      <c r="J50">
        <v>0</v>
      </c>
    </row>
    <row r="51" spans="4:4">
      <c r="D51" t="s">
        <v>13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2.5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12</v>
      </c>
      <c r="I56">
        <v>1</v>
      </c>
      <c r="J56">
        <v>1</v>
      </c>
    </row>
    <row r="57" spans="1:10">
      <c r="A57">
        <v>2.5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12</v>
      </c>
      <c r="I57">
        <v>0.83</v>
      </c>
      <c r="J57">
        <v>1</v>
      </c>
    </row>
    <row r="58" spans="1:10">
      <c r="A58">
        <v>2.5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12</v>
      </c>
      <c r="I58">
        <v>0.75</v>
      </c>
      <c r="J58">
        <v>1</v>
      </c>
    </row>
    <row r="59" spans="1:10">
      <c r="A59">
        <v>0.73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12</v>
      </c>
      <c r="I59">
        <v>0.38</v>
      </c>
      <c r="J59">
        <v>1</v>
      </c>
    </row>
    <row r="60" spans="1:10">
      <c r="A60">
        <v>1.3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14</v>
      </c>
      <c r="I60">
        <v>0.67</v>
      </c>
      <c r="J60">
        <v>1</v>
      </c>
    </row>
    <row r="61" spans="1:10">
      <c r="A61">
        <v>1.3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14</v>
      </c>
      <c r="I61">
        <v>0.67</v>
      </c>
      <c r="J61">
        <v>1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2.5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12</v>
      </c>
      <c r="I68">
        <v>0.45</v>
      </c>
      <c r="J68">
        <v>1</v>
      </c>
    </row>
    <row r="69" spans="1:10">
      <c r="A69">
        <v>2.5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12</v>
      </c>
      <c r="I69">
        <v>0.45</v>
      </c>
      <c r="J69">
        <v>1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">
      <c r="A75" t="s">
        <v>14</v>
      </c>
    </row>
    <row r="76" spans="1:3">
      <c r="A76" s="19">
        <v>191000000000000</v>
      </c>
      <c r="B76" s="20">
        <v>0</v>
      </c>
      <c r="C76" s="20">
        <v>16440</v>
      </c>
    </row>
    <row r="77" spans="1:5">
      <c r="A77" s="19">
        <v>50800</v>
      </c>
      <c r="B77" s="20">
        <v>2.67</v>
      </c>
      <c r="C77" s="20">
        <v>6292</v>
      </c>
      <c r="E77" t="s">
        <v>17</v>
      </c>
    </row>
    <row r="78" spans="1:5">
      <c r="A78" s="19">
        <v>216000000</v>
      </c>
      <c r="B78" s="20">
        <v>1.51</v>
      </c>
      <c r="C78" s="20">
        <v>3430</v>
      </c>
      <c r="E78" t="s">
        <v>17</v>
      </c>
    </row>
    <row r="79" spans="1:3">
      <c r="A79" s="19">
        <v>2970000</v>
      </c>
      <c r="B79" s="20">
        <v>2.02</v>
      </c>
      <c r="C79" s="20">
        <v>13400</v>
      </c>
    </row>
    <row r="80" spans="1:3">
      <c r="A80" s="19">
        <v>4.57e+19</v>
      </c>
      <c r="B80" s="20">
        <v>-1.4</v>
      </c>
      <c r="C80" s="20">
        <v>105100</v>
      </c>
    </row>
    <row r="81" spans="1:3">
      <c r="A81" s="19">
        <v>6170000000000000</v>
      </c>
      <c r="B81" s="20">
        <v>-0.5</v>
      </c>
      <c r="C81" s="20">
        <v>0</v>
      </c>
    </row>
    <row r="82" spans="1:3">
      <c r="A82" s="19">
        <v>4.72e+18</v>
      </c>
      <c r="B82" s="20">
        <v>-1</v>
      </c>
      <c r="C82" s="20">
        <v>0</v>
      </c>
    </row>
    <row r="83" spans="1:3">
      <c r="A83" s="19">
        <v>4.5e+22</v>
      </c>
      <c r="B83" s="20">
        <v>-2</v>
      </c>
      <c r="C83" s="20">
        <v>0</v>
      </c>
    </row>
    <row r="84" spans="1:3">
      <c r="A84" s="19">
        <v>3.48e+16</v>
      </c>
      <c r="B84" s="20">
        <v>-0.41</v>
      </c>
      <c r="C84" s="20">
        <v>-1120</v>
      </c>
    </row>
    <row r="85" spans="1:5">
      <c r="A85" s="19">
        <v>1480000000000</v>
      </c>
      <c r="B85" s="20">
        <v>0.6</v>
      </c>
      <c r="C85" s="20">
        <v>0</v>
      </c>
      <c r="E85" t="s">
        <v>17</v>
      </c>
    </row>
    <row r="86" spans="1:5">
      <c r="A86" s="19">
        <v>16600000000000</v>
      </c>
      <c r="B86" s="20">
        <v>0</v>
      </c>
      <c r="C86" s="20">
        <v>820</v>
      </c>
      <c r="E86" t="s">
        <v>17</v>
      </c>
    </row>
    <row r="87" spans="1:5">
      <c r="A87" s="19">
        <v>70800000000000</v>
      </c>
      <c r="B87" s="20">
        <v>0</v>
      </c>
      <c r="C87" s="20">
        <v>300</v>
      </c>
      <c r="E87" t="s">
        <v>17</v>
      </c>
    </row>
    <row r="88" spans="1:5">
      <c r="A88" s="19">
        <v>32500000000000</v>
      </c>
      <c r="B88" s="20">
        <v>0</v>
      </c>
      <c r="C88" s="20">
        <v>0</v>
      </c>
      <c r="E88" t="s">
        <v>17</v>
      </c>
    </row>
    <row r="89" spans="1:5">
      <c r="A89" s="19">
        <v>28900000000000</v>
      </c>
      <c r="B89" s="20">
        <v>0</v>
      </c>
      <c r="C89" s="20">
        <v>-500</v>
      </c>
      <c r="E89" t="s">
        <v>17</v>
      </c>
    </row>
    <row r="90" spans="1:3">
      <c r="A90" s="19">
        <v>420000000000000</v>
      </c>
      <c r="B90" s="20">
        <v>0</v>
      </c>
      <c r="C90" s="20">
        <v>11980</v>
      </c>
    </row>
    <row r="91" spans="1:3">
      <c r="A91" s="19">
        <v>130000000000</v>
      </c>
      <c r="B91" s="20">
        <v>0</v>
      </c>
      <c r="C91" s="20">
        <v>-1629</v>
      </c>
    </row>
    <row r="92" spans="1:3">
      <c r="A92" s="19">
        <v>1.27e+17</v>
      </c>
      <c r="B92" s="20">
        <v>0</v>
      </c>
      <c r="C92" s="20">
        <v>45400</v>
      </c>
    </row>
    <row r="93" spans="1:3">
      <c r="A93" s="19">
        <v>295000000000000</v>
      </c>
      <c r="B93" s="20">
        <v>0</v>
      </c>
      <c r="C93" s="20">
        <v>48400</v>
      </c>
    </row>
    <row r="94" spans="1:5">
      <c r="A94" s="19">
        <v>24100000000000</v>
      </c>
      <c r="B94" s="20">
        <v>0</v>
      </c>
      <c r="C94" s="20">
        <v>3970</v>
      </c>
      <c r="E94" t="s">
        <v>17</v>
      </c>
    </row>
    <row r="95" spans="1:5">
      <c r="A95" s="19">
        <v>60300000000000</v>
      </c>
      <c r="B95" s="20">
        <v>0</v>
      </c>
      <c r="C95" s="20">
        <v>7950</v>
      </c>
      <c r="E95" t="s">
        <v>17</v>
      </c>
    </row>
    <row r="96" spans="1:3">
      <c r="A96" s="19">
        <v>9550000</v>
      </c>
      <c r="B96" s="20">
        <v>2</v>
      </c>
      <c r="C96" s="20">
        <v>3970</v>
      </c>
    </row>
    <row r="97" spans="1:5">
      <c r="A97" s="19">
        <v>1000000000000</v>
      </c>
      <c r="B97" s="20">
        <v>0</v>
      </c>
      <c r="C97" s="20">
        <v>0</v>
      </c>
      <c r="E97" t="s">
        <v>17</v>
      </c>
    </row>
    <row r="98" spans="1:5">
      <c r="A98" s="19">
        <v>580000000000000</v>
      </c>
      <c r="B98" s="20">
        <v>0</v>
      </c>
      <c r="C98" s="20">
        <v>9560</v>
      </c>
      <c r="E98" t="s">
        <v>17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8"/>
  <sheetViews>
    <sheetView topLeftCell="A69" workbookViewId="0">
      <selection activeCell="B76" sqref="B76:B98"/>
    </sheetView>
  </sheetViews>
  <sheetFormatPr defaultColWidth="8.83333333333333" defaultRowHeight="13.5"/>
  <cols>
    <col min="1" max="1" width="9.33333333333333" style="1" customWidth="1"/>
    <col min="2" max="2" width="10.5" style="1" customWidth="1"/>
    <col min="3" max="3" width="9.5" style="1" customWidth="1"/>
    <col min="4" max="9" width="8.83333333333333" style="1"/>
  </cols>
  <sheetData>
    <row r="1" spans="1:9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>
      <c r="A2" s="1">
        <v>2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7</v>
      </c>
    </row>
    <row r="3" spans="1:1">
      <c r="A3" s="1" t="s">
        <v>11</v>
      </c>
    </row>
    <row r="4" spans="1:9">
      <c r="A4" s="1">
        <v>0</v>
      </c>
      <c r="B4" s="1">
        <v>1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>
        <v>1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>
        <v>1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>
        <v>0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</row>
    <row r="8" spans="1:9">
      <c r="A8" s="1">
        <v>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>
        <v>0</v>
      </c>
      <c r="B9" s="1">
        <v>0</v>
      </c>
      <c r="C9" s="1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>
      <c r="A10" s="1">
        <v>0</v>
      </c>
      <c r="B10" s="1">
        <v>0</v>
      </c>
      <c r="C10" s="1">
        <v>1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>
        <v>0</v>
      </c>
      <c r="B11" s="1">
        <v>0</v>
      </c>
      <c r="C11" s="1">
        <v>0</v>
      </c>
      <c r="D11" s="1">
        <v>1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</row>
    <row r="12" spans="1:9">
      <c r="A12" s="1">
        <v>0</v>
      </c>
      <c r="B12" s="1">
        <v>1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>
      <c r="A13" s="1">
        <v>0</v>
      </c>
      <c r="B13" s="1">
        <v>1</v>
      </c>
      <c r="C13" s="1">
        <v>0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>
      <c r="A14" s="1">
        <v>0</v>
      </c>
      <c r="B14" s="1">
        <v>0</v>
      </c>
      <c r="C14" s="1">
        <v>0</v>
      </c>
      <c r="D14" s="1">
        <v>1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</row>
    <row r="15" spans="1:9">
      <c r="A15" s="1">
        <v>0</v>
      </c>
      <c r="B15" s="1">
        <v>0</v>
      </c>
      <c r="C15" s="1">
        <v>0</v>
      </c>
      <c r="D15" s="1">
        <v>1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</row>
    <row r="16" spans="1:9">
      <c r="A16" s="1">
        <v>0</v>
      </c>
      <c r="B16" s="1">
        <v>0</v>
      </c>
      <c r="C16" s="1">
        <v>1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</row>
    <row r="17" spans="1:9">
      <c r="A17" s="1">
        <v>0</v>
      </c>
      <c r="B17" s="1">
        <v>0</v>
      </c>
      <c r="C17" s="1">
        <v>0</v>
      </c>
      <c r="D17" s="1">
        <v>0</v>
      </c>
      <c r="E17" s="1">
        <v>1</v>
      </c>
      <c r="F17" s="1">
        <v>1</v>
      </c>
      <c r="G17" s="1">
        <v>0</v>
      </c>
      <c r="H17" s="1">
        <v>0</v>
      </c>
      <c r="I17" s="1">
        <v>0</v>
      </c>
    </row>
    <row r="18" spans="1:9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2</v>
      </c>
      <c r="G18" s="1">
        <v>0</v>
      </c>
      <c r="H18" s="1">
        <v>0</v>
      </c>
      <c r="I18" s="1">
        <v>0</v>
      </c>
    </row>
    <row r="19" spans="1:9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  <c r="H19" s="1">
        <v>0</v>
      </c>
      <c r="I19" s="1">
        <v>0</v>
      </c>
    </row>
    <row r="20" spans="1:9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</row>
    <row r="21" spans="1:9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</row>
    <row r="22" spans="1:9">
      <c r="A22" s="1">
        <v>0</v>
      </c>
      <c r="B22" s="1">
        <v>0</v>
      </c>
      <c r="C22" s="1">
        <v>0</v>
      </c>
      <c r="D22" s="1">
        <v>1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</row>
    <row r="23" spans="1:9">
      <c r="A23" s="1">
        <v>0</v>
      </c>
      <c r="B23" s="1">
        <v>0</v>
      </c>
      <c r="C23" s="1">
        <v>0</v>
      </c>
      <c r="D23" s="1">
        <v>1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</row>
    <row r="24" spans="1:9">
      <c r="A24" s="1">
        <v>0</v>
      </c>
      <c r="B24" s="1">
        <v>0</v>
      </c>
      <c r="C24" s="1">
        <v>1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</row>
    <row r="25" spans="1:9">
      <c r="A25" s="1">
        <v>0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1</v>
      </c>
      <c r="H25" s="1">
        <v>0</v>
      </c>
      <c r="I25" s="1">
        <v>0</v>
      </c>
    </row>
    <row r="26" spans="1:9">
      <c r="A26" s="1">
        <v>0</v>
      </c>
      <c r="B26" s="1">
        <v>0</v>
      </c>
      <c r="C26" s="1">
        <v>0</v>
      </c>
      <c r="D26" s="1">
        <v>0</v>
      </c>
      <c r="E26" s="1">
        <v>1</v>
      </c>
      <c r="F26" s="1">
        <v>0</v>
      </c>
      <c r="G26" s="1">
        <v>1</v>
      </c>
      <c r="H26" s="1">
        <v>0</v>
      </c>
      <c r="I26" s="1">
        <v>0</v>
      </c>
    </row>
    <row r="27" spans="1:1">
      <c r="A27" s="1" t="s">
        <v>12</v>
      </c>
    </row>
    <row r="28" spans="1:9">
      <c r="A28" s="1">
        <v>0</v>
      </c>
      <c r="B28" s="1">
        <v>0</v>
      </c>
      <c r="C28" s="1">
        <v>1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</row>
    <row r="29" spans="1:9">
      <c r="A29" s="1">
        <v>0</v>
      </c>
      <c r="B29" s="1">
        <v>0</v>
      </c>
      <c r="C29" s="1">
        <v>0</v>
      </c>
      <c r="D29" s="1">
        <v>1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</row>
    <row r="30" spans="1:9">
      <c r="A30" s="1">
        <v>0</v>
      </c>
      <c r="B30" s="1">
        <v>0</v>
      </c>
      <c r="C30" s="1">
        <v>0</v>
      </c>
      <c r="D30" s="1">
        <v>1</v>
      </c>
      <c r="E30" s="1">
        <v>0</v>
      </c>
      <c r="F30" s="1">
        <v>0</v>
      </c>
      <c r="G30" s="1">
        <v>0</v>
      </c>
      <c r="H30" s="1">
        <v>1</v>
      </c>
      <c r="I30" s="1">
        <v>0</v>
      </c>
    </row>
    <row r="31" spans="1:9">
      <c r="A31" s="1">
        <v>0</v>
      </c>
      <c r="B31" s="1">
        <v>0</v>
      </c>
      <c r="C31" s="1">
        <v>0</v>
      </c>
      <c r="D31" s="1">
        <v>0</v>
      </c>
      <c r="E31" s="1">
        <v>2</v>
      </c>
      <c r="F31" s="1">
        <v>0</v>
      </c>
      <c r="G31" s="1">
        <v>0</v>
      </c>
      <c r="H31" s="1">
        <v>0</v>
      </c>
      <c r="I31" s="1">
        <v>0</v>
      </c>
    </row>
    <row r="32" spans="1:9">
      <c r="A32" s="1">
        <v>0</v>
      </c>
      <c r="B32" s="1">
        <v>0</v>
      </c>
      <c r="C32" s="1">
        <v>0</v>
      </c>
      <c r="D32" s="1">
        <v>2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 spans="1:9">
      <c r="A33" s="1">
        <v>0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>
      <c r="A34" s="1">
        <v>0</v>
      </c>
      <c r="B34" s="1">
        <v>0</v>
      </c>
      <c r="C34" s="1">
        <v>0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</row>
    <row r="35" spans="1:9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</row>
    <row r="36" spans="1:9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  <c r="I36" s="1">
        <v>0</v>
      </c>
    </row>
    <row r="37" spans="1:9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</row>
    <row r="38" spans="1:9">
      <c r="A38" s="1">
        <v>1</v>
      </c>
      <c r="B38" s="1">
        <v>1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 spans="1:9">
      <c r="A39" s="1">
        <v>0</v>
      </c>
      <c r="B39" s="1">
        <v>0</v>
      </c>
      <c r="C39" s="1">
        <v>0</v>
      </c>
      <c r="D39" s="1">
        <v>0</v>
      </c>
      <c r="E39" s="1">
        <v>2</v>
      </c>
      <c r="F39" s="1">
        <v>0</v>
      </c>
      <c r="G39" s="1">
        <v>0</v>
      </c>
      <c r="H39" s="1">
        <v>0</v>
      </c>
      <c r="I39" s="1">
        <v>0</v>
      </c>
    </row>
    <row r="40" spans="1:9">
      <c r="A40" s="1">
        <v>0</v>
      </c>
      <c r="B40" s="1">
        <v>1</v>
      </c>
      <c r="C40" s="1">
        <v>0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</row>
    <row r="41" spans="1:9">
      <c r="A41" s="1">
        <v>0</v>
      </c>
      <c r="B41" s="1">
        <v>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1</v>
      </c>
      <c r="I41" s="1">
        <v>0</v>
      </c>
    </row>
    <row r="42" spans="1:9">
      <c r="A42" s="1">
        <v>0</v>
      </c>
      <c r="B42" s="1">
        <v>1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</row>
    <row r="43" spans="1:9">
      <c r="A43" s="1">
        <v>0</v>
      </c>
      <c r="B43" s="1">
        <v>1</v>
      </c>
      <c r="C43" s="1">
        <v>0</v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</row>
    <row r="44" spans="1:9">
      <c r="A44" s="1">
        <v>0</v>
      </c>
      <c r="B44" s="1">
        <v>0</v>
      </c>
      <c r="C44" s="1">
        <v>0</v>
      </c>
      <c r="D44" s="1">
        <v>0</v>
      </c>
      <c r="E44" s="1">
        <v>2</v>
      </c>
      <c r="F44" s="1">
        <v>0</v>
      </c>
      <c r="G44" s="1">
        <v>0</v>
      </c>
      <c r="H44" s="1">
        <v>0</v>
      </c>
      <c r="I44" s="1">
        <v>0</v>
      </c>
    </row>
    <row r="45" spans="1:9">
      <c r="A45" s="1">
        <v>0</v>
      </c>
      <c r="B45" s="1">
        <v>0</v>
      </c>
      <c r="C45" s="1">
        <v>0</v>
      </c>
      <c r="D45" s="1">
        <v>0</v>
      </c>
      <c r="E45" s="1">
        <v>2</v>
      </c>
      <c r="F45" s="1">
        <v>0</v>
      </c>
      <c r="G45" s="1">
        <v>0</v>
      </c>
      <c r="H45" s="1">
        <v>0</v>
      </c>
      <c r="I45" s="1">
        <v>0</v>
      </c>
    </row>
    <row r="46" spans="1:9">
      <c r="A46" s="1">
        <v>0</v>
      </c>
      <c r="B46" s="1">
        <v>0</v>
      </c>
      <c r="C46" s="1">
        <v>0</v>
      </c>
      <c r="D46" s="1">
        <v>0</v>
      </c>
      <c r="E46" s="1">
        <v>1</v>
      </c>
      <c r="F46" s="1">
        <v>0</v>
      </c>
      <c r="G46" s="1">
        <v>0</v>
      </c>
      <c r="H46" s="1">
        <v>1</v>
      </c>
      <c r="I46" s="1">
        <v>0</v>
      </c>
    </row>
    <row r="47" spans="1:9">
      <c r="A47" s="1">
        <v>1</v>
      </c>
      <c r="B47" s="1">
        <v>0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</row>
    <row r="48" spans="1:9">
      <c r="A48" s="1">
        <v>0</v>
      </c>
      <c r="B48" s="1">
        <v>0</v>
      </c>
      <c r="C48" s="1">
        <v>0</v>
      </c>
      <c r="D48" s="1">
        <v>0</v>
      </c>
      <c r="E48" s="1">
        <v>1</v>
      </c>
      <c r="F48" s="1">
        <v>1</v>
      </c>
      <c r="G48" s="1">
        <v>0</v>
      </c>
      <c r="H48" s="1">
        <v>0</v>
      </c>
      <c r="I48" s="1">
        <v>0</v>
      </c>
    </row>
    <row r="49" spans="1:9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  <c r="H49" s="1">
        <v>1</v>
      </c>
      <c r="I49" s="1">
        <v>0</v>
      </c>
    </row>
    <row r="50" spans="1:9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1</v>
      </c>
      <c r="G50" s="1">
        <v>0</v>
      </c>
      <c r="H50" s="1">
        <v>1</v>
      </c>
      <c r="I50" s="1">
        <v>0</v>
      </c>
    </row>
    <row r="51" spans="1:1">
      <c r="A51" s="1" t="s">
        <v>13</v>
      </c>
    </row>
    <row r="52" spans="1:9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 spans="1:9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 spans="1:9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 spans="1:9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>
      <c r="A56" s="1">
        <v>2.5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12</v>
      </c>
      <c r="I56" s="1">
        <v>1</v>
      </c>
    </row>
    <row r="57" spans="1:9">
      <c r="A57" s="1">
        <v>2.5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12</v>
      </c>
      <c r="I57" s="1">
        <v>0.83</v>
      </c>
    </row>
    <row r="58" spans="1:9">
      <c r="A58" s="1">
        <v>2.5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12</v>
      </c>
      <c r="I58" s="1">
        <v>0.75</v>
      </c>
    </row>
    <row r="59" spans="1:9">
      <c r="A59" s="1">
        <v>0.73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12</v>
      </c>
      <c r="I59" s="1">
        <v>0.38</v>
      </c>
    </row>
    <row r="60" spans="1:9">
      <c r="A60" s="1">
        <v>1.3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14</v>
      </c>
      <c r="I60" s="1">
        <v>0.67</v>
      </c>
    </row>
    <row r="61" spans="1:9">
      <c r="A61" s="1">
        <v>1.3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14</v>
      </c>
      <c r="I61" s="1">
        <v>0.67</v>
      </c>
    </row>
    <row r="62" spans="1:9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 spans="1:9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</row>
    <row r="64" spans="1:9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</row>
    <row r="65" spans="1:9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</row>
    <row r="66" spans="1:9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</row>
    <row r="67" spans="1:9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</row>
    <row r="68" spans="1:9">
      <c r="A68" s="1">
        <v>2.5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12</v>
      </c>
      <c r="I68" s="1">
        <v>0.45</v>
      </c>
    </row>
    <row r="69" spans="1:9">
      <c r="A69" s="1">
        <v>2.5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12</v>
      </c>
      <c r="I69" s="1">
        <v>0.45</v>
      </c>
    </row>
    <row r="70" spans="1:9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</row>
    <row r="71" spans="1:9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</row>
    <row r="72" spans="1:9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</row>
    <row r="73" spans="1:9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</row>
    <row r="74" spans="1:9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</row>
    <row r="75" spans="1:1">
      <c r="A75" s="1" t="s">
        <v>14</v>
      </c>
    </row>
    <row r="76" spans="1:3">
      <c r="A76" s="7">
        <v>191000000000000</v>
      </c>
      <c r="B76" s="18">
        <v>0</v>
      </c>
      <c r="C76" s="8">
        <v>16440</v>
      </c>
    </row>
    <row r="77" spans="1:4">
      <c r="A77" s="7">
        <v>50800</v>
      </c>
      <c r="B77" s="18">
        <v>2.67</v>
      </c>
      <c r="C77" s="8">
        <v>6292</v>
      </c>
      <c r="D77" s="1" t="s">
        <v>17</v>
      </c>
    </row>
    <row r="78" spans="1:4">
      <c r="A78" s="7">
        <v>216000000</v>
      </c>
      <c r="B78" s="18">
        <v>1.51</v>
      </c>
      <c r="C78" s="8">
        <v>3430</v>
      </c>
      <c r="D78" s="1" t="s">
        <v>17</v>
      </c>
    </row>
    <row r="79" spans="1:3">
      <c r="A79" s="7">
        <v>2970000</v>
      </c>
      <c r="B79" s="18">
        <v>2.02</v>
      </c>
      <c r="C79" s="8">
        <v>13400</v>
      </c>
    </row>
    <row r="80" spans="1:3">
      <c r="A80" s="1" t="s">
        <v>29</v>
      </c>
      <c r="B80" s="18">
        <v>105100</v>
      </c>
      <c r="C80" s="8"/>
    </row>
    <row r="81" spans="1:3">
      <c r="A81" s="1" t="s">
        <v>30</v>
      </c>
      <c r="B81" s="18">
        <v>0</v>
      </c>
      <c r="C81" s="8" t="s">
        <v>17</v>
      </c>
    </row>
    <row r="82" spans="1:3">
      <c r="A82" s="1" t="s">
        <v>31</v>
      </c>
      <c r="B82" s="18">
        <v>0</v>
      </c>
      <c r="C82" s="8" t="s">
        <v>17</v>
      </c>
    </row>
    <row r="83" spans="1:3">
      <c r="A83" s="1" t="s">
        <v>32</v>
      </c>
      <c r="B83" s="18">
        <v>0</v>
      </c>
      <c r="C83" s="8" t="s">
        <v>17</v>
      </c>
    </row>
    <row r="84" spans="1:3">
      <c r="A84" s="1" t="s">
        <v>33</v>
      </c>
      <c r="B84" s="18">
        <v>-1120</v>
      </c>
      <c r="C84" s="8"/>
    </row>
    <row r="85" spans="1:4">
      <c r="A85" s="7">
        <v>1480000000000</v>
      </c>
      <c r="B85" s="18">
        <v>0.6</v>
      </c>
      <c r="C85" s="8">
        <v>0</v>
      </c>
      <c r="D85" s="1" t="s">
        <v>17</v>
      </c>
    </row>
    <row r="86" spans="1:4">
      <c r="A86" s="7">
        <v>16600000000000</v>
      </c>
      <c r="B86" s="18">
        <v>0</v>
      </c>
      <c r="C86" s="8">
        <v>820</v>
      </c>
      <c r="D86" s="1" t="s">
        <v>17</v>
      </c>
    </row>
    <row r="87" spans="1:4">
      <c r="A87" s="7">
        <v>70800000000000</v>
      </c>
      <c r="B87" s="18">
        <v>0</v>
      </c>
      <c r="C87" s="8">
        <v>300</v>
      </c>
      <c r="D87" s="1" t="s">
        <v>17</v>
      </c>
    </row>
    <row r="88" spans="1:4">
      <c r="A88" s="7">
        <v>32500000000000</v>
      </c>
      <c r="B88" s="18">
        <v>0</v>
      </c>
      <c r="C88" s="8">
        <v>0</v>
      </c>
      <c r="D88" s="1" t="s">
        <v>17</v>
      </c>
    </row>
    <row r="89" spans="1:4">
      <c r="A89" s="7">
        <v>28900000000000</v>
      </c>
      <c r="B89" s="18">
        <v>0</v>
      </c>
      <c r="C89" s="8">
        <v>-500</v>
      </c>
      <c r="D89" s="1" t="s">
        <v>17</v>
      </c>
    </row>
    <row r="90" spans="1:3">
      <c r="A90" s="7">
        <v>420000000000000</v>
      </c>
      <c r="B90" s="18">
        <v>0</v>
      </c>
      <c r="C90" s="8">
        <v>11980</v>
      </c>
    </row>
    <row r="91" spans="1:3">
      <c r="A91" s="7">
        <v>130000000000</v>
      </c>
      <c r="B91" s="18">
        <v>0</v>
      </c>
      <c r="C91" s="8">
        <v>-1629</v>
      </c>
    </row>
    <row r="92" spans="1:3">
      <c r="A92" s="7">
        <v>1.27e+17</v>
      </c>
      <c r="B92" s="18">
        <v>0</v>
      </c>
      <c r="C92" s="8">
        <v>45400</v>
      </c>
    </row>
    <row r="93" spans="1:3">
      <c r="A93" s="7">
        <v>295000000000000</v>
      </c>
      <c r="B93" s="18">
        <v>0</v>
      </c>
      <c r="C93" s="8">
        <v>48400</v>
      </c>
    </row>
    <row r="94" spans="1:4">
      <c r="A94" s="7">
        <v>24100000000000</v>
      </c>
      <c r="B94" s="18">
        <v>0</v>
      </c>
      <c r="C94" s="8">
        <v>3970</v>
      </c>
      <c r="D94" s="1" t="s">
        <v>17</v>
      </c>
    </row>
    <row r="95" spans="1:4">
      <c r="A95" s="7">
        <v>60300000000000</v>
      </c>
      <c r="B95" s="18">
        <v>0</v>
      </c>
      <c r="C95" s="8">
        <v>7950</v>
      </c>
      <c r="D95" s="1" t="s">
        <v>17</v>
      </c>
    </row>
    <row r="96" spans="1:3">
      <c r="A96" s="7">
        <v>9550000</v>
      </c>
      <c r="B96" s="18">
        <v>2</v>
      </c>
      <c r="C96" s="8">
        <v>3970</v>
      </c>
    </row>
    <row r="97" spans="1:4">
      <c r="A97" s="7">
        <v>1000000000000</v>
      </c>
      <c r="B97" s="18">
        <v>0</v>
      </c>
      <c r="C97" s="8">
        <v>0</v>
      </c>
      <c r="D97" s="1" t="s">
        <v>17</v>
      </c>
    </row>
    <row r="98" spans="1:4">
      <c r="A98" s="7">
        <v>580000000000000</v>
      </c>
      <c r="B98" s="18">
        <v>0</v>
      </c>
      <c r="C98" s="8">
        <v>9560</v>
      </c>
      <c r="D98" s="1" t="s">
        <v>17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5"/>
  <sheetViews>
    <sheetView topLeftCell="A41" workbookViewId="0">
      <selection activeCell="F41" sqref="F41"/>
    </sheetView>
  </sheetViews>
  <sheetFormatPr defaultColWidth="8.83333333333333" defaultRowHeight="13.5"/>
  <cols>
    <col min="1" max="1" width="10.1666666666667" customWidth="1"/>
    <col min="3" max="3" width="10.8333333333333" customWidth="1"/>
    <col min="4" max="4" width="10.5" customWidth="1"/>
    <col min="6" max="6" width="11" customWidth="1"/>
    <col min="19" max="19" width="10.3333333333333" style="15" customWidth="1"/>
    <col min="21" max="21" width="12.5" style="16" customWidth="1"/>
  </cols>
  <sheetData>
    <row r="1" spans="1:9">
      <c r="A1" s="1" t="s">
        <v>34</v>
      </c>
      <c r="B1" s="1" t="s">
        <v>35</v>
      </c>
      <c r="C1" s="1" t="s">
        <v>22</v>
      </c>
      <c r="D1" s="1" t="s">
        <v>23</v>
      </c>
      <c r="E1" s="1" t="s">
        <v>36</v>
      </c>
      <c r="F1" s="1" t="s">
        <v>37</v>
      </c>
      <c r="G1" s="1" t="s">
        <v>38</v>
      </c>
      <c r="H1" s="1" t="s">
        <v>27</v>
      </c>
      <c r="I1" s="1" t="s">
        <v>8</v>
      </c>
    </row>
    <row r="2" spans="1:9">
      <c r="A2" s="1">
        <v>2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7</v>
      </c>
    </row>
    <row r="3" spans="1:18">
      <c r="A3" s="1">
        <v>2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7</v>
      </c>
      <c r="J3" s="1"/>
      <c r="K3" s="1"/>
      <c r="L3" s="1"/>
      <c r="M3" s="1"/>
      <c r="N3" s="1"/>
      <c r="O3" s="1"/>
      <c r="P3" s="1"/>
      <c r="Q3" s="1"/>
      <c r="R3" s="1"/>
    </row>
    <row r="4" spans="1:9">
      <c r="A4" s="4" t="s">
        <v>11</v>
      </c>
      <c r="B4" s="4"/>
      <c r="C4" s="4"/>
      <c r="D4" s="4"/>
      <c r="E4" s="4"/>
      <c r="F4" s="4"/>
      <c r="G4" s="4"/>
      <c r="H4" s="4"/>
      <c r="I4" s="4"/>
    </row>
    <row r="5" spans="1:9">
      <c r="A5" s="4">
        <v>1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spans="1:9">
      <c r="A6" s="4">
        <v>0</v>
      </c>
      <c r="B6" s="4">
        <v>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</row>
    <row r="7" spans="1:9">
      <c r="A7" s="4">
        <v>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</row>
    <row r="8" spans="1:9">
      <c r="A8" s="4">
        <v>0</v>
      </c>
      <c r="B8" s="4">
        <v>0</v>
      </c>
      <c r="C8" s="4">
        <v>0</v>
      </c>
      <c r="D8" s="4">
        <v>0</v>
      </c>
      <c r="E8" s="4">
        <v>1</v>
      </c>
      <c r="F8" s="4">
        <v>0</v>
      </c>
      <c r="G8" s="4">
        <v>0</v>
      </c>
      <c r="H8" s="4">
        <v>0</v>
      </c>
      <c r="I8" s="4">
        <v>0</v>
      </c>
    </row>
    <row r="9" spans="1:9">
      <c r="A9" s="4">
        <v>0</v>
      </c>
      <c r="B9" s="4">
        <v>0</v>
      </c>
      <c r="C9" s="4">
        <v>1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</v>
      </c>
    </row>
    <row r="10" spans="1:9">
      <c r="A10" s="4">
        <v>0</v>
      </c>
      <c r="B10" s="4">
        <v>0</v>
      </c>
      <c r="C10" s="4">
        <v>0</v>
      </c>
      <c r="D10" s="4">
        <v>1</v>
      </c>
      <c r="E10" s="4">
        <v>0</v>
      </c>
      <c r="F10" s="4">
        <v>0</v>
      </c>
      <c r="G10" s="4">
        <v>0</v>
      </c>
      <c r="H10" s="4">
        <v>1</v>
      </c>
      <c r="I10" s="4">
        <v>0</v>
      </c>
    </row>
    <row r="11" spans="1:9">
      <c r="A11" s="4">
        <v>0</v>
      </c>
      <c r="B11" s="4">
        <v>1</v>
      </c>
      <c r="C11" s="4">
        <v>0</v>
      </c>
      <c r="D11" s="4">
        <v>1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</row>
    <row r="12" spans="1:9">
      <c r="A12" s="4">
        <v>1</v>
      </c>
      <c r="B12" s="4">
        <v>0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</row>
    <row r="13" spans="1:9">
      <c r="A13" s="4" t="s">
        <v>12</v>
      </c>
      <c r="B13" s="4"/>
      <c r="C13" s="4"/>
      <c r="D13" s="4"/>
      <c r="E13" s="4"/>
      <c r="F13" s="4"/>
      <c r="G13" s="4"/>
      <c r="H13" s="4"/>
      <c r="I13" s="4"/>
    </row>
    <row r="14" spans="1:9">
      <c r="A14" s="4">
        <v>0</v>
      </c>
      <c r="B14" s="4">
        <v>0</v>
      </c>
      <c r="C14" s="4">
        <v>0</v>
      </c>
      <c r="D14" s="4">
        <v>2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</row>
    <row r="15" spans="1:9">
      <c r="A15" s="4">
        <v>0</v>
      </c>
      <c r="B15" s="4">
        <v>0</v>
      </c>
      <c r="C15" s="4">
        <v>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</row>
    <row r="16" spans="1:9">
      <c r="A16" s="4">
        <v>0</v>
      </c>
      <c r="B16" s="4">
        <v>0</v>
      </c>
      <c r="C16" s="4">
        <v>0</v>
      </c>
      <c r="D16" s="4">
        <v>1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</row>
    <row r="17" spans="1:9">
      <c r="A17" s="4">
        <v>0</v>
      </c>
      <c r="B17" s="4">
        <v>0</v>
      </c>
      <c r="C17" s="4">
        <v>1</v>
      </c>
      <c r="D17" s="4">
        <v>1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>
      <c r="A18" s="4">
        <v>0</v>
      </c>
      <c r="B18" s="4">
        <v>0</v>
      </c>
      <c r="C18" s="4">
        <v>0</v>
      </c>
      <c r="D18" s="4">
        <v>0</v>
      </c>
      <c r="E18" s="4">
        <v>2</v>
      </c>
      <c r="F18" s="4">
        <v>0</v>
      </c>
      <c r="G18" s="4">
        <v>0</v>
      </c>
      <c r="H18" s="4">
        <v>0</v>
      </c>
      <c r="I18" s="4">
        <v>0</v>
      </c>
    </row>
    <row r="19" spans="1:9">
      <c r="A19" s="4">
        <v>1</v>
      </c>
      <c r="B19" s="4">
        <v>0</v>
      </c>
      <c r="C19" s="4">
        <v>0</v>
      </c>
      <c r="D19" s="4">
        <v>0</v>
      </c>
      <c r="E19" s="4">
        <v>1</v>
      </c>
      <c r="F19" s="4">
        <v>0</v>
      </c>
      <c r="G19" s="4">
        <v>0</v>
      </c>
      <c r="H19" s="4">
        <v>0</v>
      </c>
      <c r="I19" s="4">
        <v>0</v>
      </c>
    </row>
    <row r="20" spans="1:9">
      <c r="A20" s="4">
        <v>0</v>
      </c>
      <c r="B20" s="4">
        <v>0</v>
      </c>
      <c r="C20" s="4">
        <v>1</v>
      </c>
      <c r="D20" s="4">
        <v>0</v>
      </c>
      <c r="E20" s="4">
        <v>1</v>
      </c>
      <c r="F20" s="4">
        <v>0</v>
      </c>
      <c r="G20" s="4">
        <v>0</v>
      </c>
      <c r="H20" s="4">
        <v>0</v>
      </c>
      <c r="I20" s="4">
        <v>0</v>
      </c>
    </row>
    <row r="21" spans="1:9">
      <c r="A21" s="4">
        <v>0</v>
      </c>
      <c r="B21" s="4">
        <v>0</v>
      </c>
      <c r="C21" s="4">
        <v>0</v>
      </c>
      <c r="D21" s="4">
        <v>1</v>
      </c>
      <c r="E21" s="4">
        <v>1</v>
      </c>
      <c r="F21" s="4">
        <v>0</v>
      </c>
      <c r="G21" s="4">
        <v>0</v>
      </c>
      <c r="H21" s="4">
        <v>0</v>
      </c>
      <c r="I21" s="4">
        <v>0</v>
      </c>
    </row>
    <row r="22" spans="1:9">
      <c r="A22" s="4" t="s">
        <v>13</v>
      </c>
      <c r="B22" s="4"/>
      <c r="C22" s="4"/>
      <c r="D22" s="4"/>
      <c r="E22" s="4"/>
      <c r="F22" s="4"/>
      <c r="G22" s="4"/>
      <c r="H22" s="4"/>
      <c r="I22" s="4"/>
    </row>
    <row r="23" spans="1:9">
      <c r="A23" s="4">
        <v>1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</row>
    <row r="24" spans="1:9">
      <c r="A24" s="4">
        <v>1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</row>
    <row r="25" spans="1:9">
      <c r="A25" s="4">
        <v>1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</row>
    <row r="26" spans="1:9">
      <c r="A26" s="4">
        <v>1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</row>
    <row r="27" spans="1:9">
      <c r="A27" s="4">
        <v>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</row>
    <row r="28" spans="1:9">
      <c r="A28" s="4">
        <v>0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</row>
    <row r="29" spans="1:9">
      <c r="A29" s="4">
        <v>0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</row>
    <row r="30" spans="1:9">
      <c r="A30" s="4">
        <v>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</row>
    <row r="31" spans="1:3">
      <c r="A31" s="5" t="s">
        <v>14</v>
      </c>
      <c r="B31" s="4"/>
      <c r="C31" s="17"/>
    </row>
    <row r="32" spans="1:6">
      <c r="A32" s="5">
        <v>5.5e+18</v>
      </c>
      <c r="B32" s="4">
        <v>-1</v>
      </c>
      <c r="C32" s="17">
        <v>103300</v>
      </c>
      <c r="D32" s="5">
        <v>1800000000000000</v>
      </c>
      <c r="E32" s="4">
        <v>-1</v>
      </c>
      <c r="F32" s="17">
        <v>0</v>
      </c>
    </row>
    <row r="33" spans="1:6">
      <c r="A33" s="5">
        <v>7.2e+18</v>
      </c>
      <c r="B33" s="4">
        <v>-1</v>
      </c>
      <c r="C33" s="17">
        <v>117910</v>
      </c>
      <c r="D33" s="5">
        <v>400000000000000</v>
      </c>
      <c r="E33" s="4">
        <v>-1</v>
      </c>
      <c r="F33" s="17">
        <v>0</v>
      </c>
    </row>
    <row r="34" spans="1:6">
      <c r="A34" s="5">
        <v>5.2e+21</v>
      </c>
      <c r="B34" s="4">
        <v>-1.5</v>
      </c>
      <c r="C34" s="17">
        <v>118000</v>
      </c>
      <c r="D34" s="5">
        <v>4.4e+17</v>
      </c>
      <c r="E34" s="4">
        <v>-1.5</v>
      </c>
      <c r="F34" s="17">
        <v>0</v>
      </c>
    </row>
    <row r="35" spans="1:6">
      <c r="A35" s="5">
        <v>8.5e+18</v>
      </c>
      <c r="B35" s="4">
        <v>-1</v>
      </c>
      <c r="C35" s="17">
        <v>101000</v>
      </c>
      <c r="D35" s="5">
        <v>7100000000000000</v>
      </c>
      <c r="E35" s="4">
        <v>-1</v>
      </c>
      <c r="F35" s="17">
        <v>0</v>
      </c>
    </row>
    <row r="36" spans="1:6">
      <c r="A36" s="5">
        <v>58000000000000</v>
      </c>
      <c r="B36" s="4">
        <v>0</v>
      </c>
      <c r="C36" s="17">
        <v>18000</v>
      </c>
      <c r="D36" s="5">
        <v>5300000000000</v>
      </c>
      <c r="E36" s="4">
        <v>0</v>
      </c>
      <c r="F36" s="17">
        <v>1000</v>
      </c>
    </row>
    <row r="37" spans="1:6">
      <c r="A37" s="5">
        <v>84000000000000</v>
      </c>
      <c r="B37" s="4">
        <v>0</v>
      </c>
      <c r="C37" s="17">
        <v>20100</v>
      </c>
      <c r="D37" s="5">
        <v>20000000000000</v>
      </c>
      <c r="E37" s="4">
        <v>0</v>
      </c>
      <c r="F37" s="17">
        <v>5166</v>
      </c>
    </row>
    <row r="38" spans="1:6">
      <c r="A38" s="5">
        <v>220000000000000</v>
      </c>
      <c r="B38" s="4">
        <v>0</v>
      </c>
      <c r="C38" s="17">
        <v>16800</v>
      </c>
      <c r="D38" s="5">
        <v>15000000000000</v>
      </c>
      <c r="E38" s="4">
        <v>0</v>
      </c>
      <c r="F38" s="17">
        <v>0</v>
      </c>
    </row>
    <row r="39" spans="1:6">
      <c r="A39" s="5">
        <v>75000000000000</v>
      </c>
      <c r="B39" s="4">
        <v>0</v>
      </c>
      <c r="C39" s="17">
        <v>11100</v>
      </c>
      <c r="D39" s="5">
        <v>30000000000000</v>
      </c>
      <c r="E39" s="4">
        <v>0</v>
      </c>
      <c r="F39" s="17">
        <v>8800</v>
      </c>
    </row>
    <row r="46" spans="4:9">
      <c r="D46" s="1"/>
      <c r="E46" s="1"/>
      <c r="F46" s="1"/>
      <c r="G46" s="1"/>
      <c r="H46" s="1"/>
      <c r="I46" s="1"/>
    </row>
    <row r="47" spans="4:9">
      <c r="D47" s="1" t="s">
        <v>17</v>
      </c>
      <c r="E47" s="1"/>
      <c r="F47" s="1"/>
      <c r="G47" s="1"/>
      <c r="H47" s="1"/>
      <c r="I47" s="1"/>
    </row>
    <row r="48" spans="4:9">
      <c r="D48" s="1" t="s">
        <v>17</v>
      </c>
      <c r="E48" s="1"/>
      <c r="F48" s="1"/>
      <c r="G48" s="1"/>
      <c r="H48" s="1"/>
      <c r="I48" s="1"/>
    </row>
    <row r="49" spans="4:9">
      <c r="D49" s="1"/>
      <c r="E49" s="1"/>
      <c r="F49" s="1"/>
      <c r="G49" s="1"/>
      <c r="H49" s="1"/>
      <c r="I49" s="1"/>
    </row>
    <row r="50" spans="4:9">
      <c r="D50" s="1"/>
      <c r="E50" s="1"/>
      <c r="F50" s="1"/>
      <c r="G50" s="1"/>
      <c r="H50" s="1"/>
      <c r="I50" s="1"/>
    </row>
    <row r="51" spans="4:9">
      <c r="D51" s="1"/>
      <c r="E51" s="1"/>
      <c r="F51" s="1"/>
      <c r="G51" s="1"/>
      <c r="H51" s="1"/>
      <c r="I51" s="1"/>
    </row>
    <row r="52" spans="4:9">
      <c r="D52" s="1"/>
      <c r="E52" s="1"/>
      <c r="F52" s="1"/>
      <c r="G52" s="1"/>
      <c r="H52" s="1"/>
      <c r="I52" s="1"/>
    </row>
    <row r="53" spans="4:9">
      <c r="D53" s="1"/>
      <c r="E53" s="1"/>
      <c r="F53" s="1"/>
      <c r="G53" s="1"/>
      <c r="H53" s="1"/>
      <c r="I53" s="1"/>
    </row>
    <row r="54" spans="4:9">
      <c r="D54" s="1" t="s">
        <v>17</v>
      </c>
      <c r="E54" s="1"/>
      <c r="F54" s="1"/>
      <c r="G54" s="1"/>
      <c r="H54" s="1"/>
      <c r="I54" s="1"/>
    </row>
    <row r="55" spans="4:9">
      <c r="D55" s="1" t="s">
        <v>17</v>
      </c>
      <c r="E55" s="1"/>
      <c r="F55" s="1"/>
      <c r="G55" s="1"/>
      <c r="H55" s="1"/>
      <c r="I55" s="1"/>
    </row>
    <row r="56" spans="4:9">
      <c r="D56" s="1"/>
      <c r="E56" s="1"/>
      <c r="F56" s="1"/>
      <c r="G56" s="1"/>
      <c r="H56" s="1"/>
      <c r="I56" s="1"/>
    </row>
    <row r="57" spans="4:9">
      <c r="D57" s="1" t="s">
        <v>17</v>
      </c>
      <c r="E57" s="1"/>
      <c r="F57" s="1"/>
      <c r="G57" s="1"/>
      <c r="H57" s="1"/>
      <c r="I57" s="1"/>
    </row>
    <row r="58" spans="4:9">
      <c r="D58" s="1" t="s">
        <v>17</v>
      </c>
      <c r="E58" s="1"/>
      <c r="F58" s="1"/>
      <c r="G58" s="1"/>
      <c r="H58" s="1"/>
      <c r="I58" s="1"/>
    </row>
    <row r="59" spans="4:9">
      <c r="D59" s="1"/>
      <c r="E59" s="1"/>
      <c r="F59" s="1"/>
      <c r="G59" s="1"/>
      <c r="H59" s="1"/>
      <c r="I59" s="1"/>
    </row>
    <row r="60" spans="4:9">
      <c r="D60" s="1"/>
      <c r="E60" s="1"/>
      <c r="F60" s="1"/>
      <c r="G60" s="1"/>
      <c r="H60" s="1"/>
      <c r="I60" s="1"/>
    </row>
    <row r="61" spans="4:9">
      <c r="D61" s="1"/>
      <c r="E61" s="1"/>
      <c r="F61" s="1"/>
      <c r="G61" s="1"/>
      <c r="H61" s="1"/>
      <c r="I61" s="1"/>
    </row>
    <row r="62" spans="4:9">
      <c r="D62" s="1" t="s">
        <v>17</v>
      </c>
      <c r="E62" s="1"/>
      <c r="F62" s="1"/>
      <c r="G62" s="1"/>
      <c r="H62" s="1"/>
      <c r="I62" s="1"/>
    </row>
    <row r="63" spans="4:9">
      <c r="D63" s="1" t="s">
        <v>17</v>
      </c>
      <c r="E63" s="1"/>
      <c r="F63" s="1"/>
      <c r="G63" s="1"/>
      <c r="H63" s="1"/>
      <c r="I63" s="1"/>
    </row>
    <row r="64" spans="4:9">
      <c r="D64" s="1"/>
      <c r="E64" s="1"/>
      <c r="F64" s="1"/>
      <c r="G64" s="1"/>
      <c r="H64" s="1"/>
      <c r="I64" s="1"/>
    </row>
    <row r="65" spans="4:9">
      <c r="D65" s="1" t="s">
        <v>17</v>
      </c>
      <c r="E65" s="1"/>
      <c r="F65" s="1"/>
      <c r="G65" s="1"/>
      <c r="H65" s="1"/>
      <c r="I65" s="1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4"/>
  <sheetViews>
    <sheetView topLeftCell="A40" workbookViewId="0">
      <selection activeCell="N78" sqref="N78"/>
    </sheetView>
  </sheetViews>
  <sheetFormatPr defaultColWidth="8.83333333333333" defaultRowHeight="13.5"/>
  <cols>
    <col min="1" max="9" width="10.8333333333333" style="1" customWidth="1"/>
    <col min="10" max="10" width="5.83333333333333" style="10" customWidth="1"/>
    <col min="11" max="19" width="5.83333333333333" customWidth="1"/>
    <col min="20" max="22" width="10.8333333333333" style="10" customWidth="1"/>
  </cols>
  <sheetData>
    <row r="1" spans="1:19">
      <c r="A1" s="1" t="s">
        <v>34</v>
      </c>
      <c r="B1" s="1" t="s">
        <v>35</v>
      </c>
      <c r="C1" s="1" t="s">
        <v>22</v>
      </c>
      <c r="D1" s="1" t="s">
        <v>23</v>
      </c>
      <c r="E1" s="1" t="s">
        <v>36</v>
      </c>
      <c r="F1" s="1" t="s">
        <v>37</v>
      </c>
      <c r="G1" s="1" t="s">
        <v>38</v>
      </c>
      <c r="H1" s="1" t="s">
        <v>27</v>
      </c>
      <c r="I1" s="1" t="s">
        <v>8</v>
      </c>
      <c r="J1" s="11"/>
      <c r="K1" s="1"/>
      <c r="L1" s="1"/>
      <c r="M1" s="1"/>
      <c r="N1" s="1"/>
      <c r="O1" s="1"/>
      <c r="P1" s="1"/>
      <c r="Q1" s="1"/>
      <c r="R1" s="1"/>
      <c r="S1" s="1"/>
    </row>
    <row r="2" spans="1:22">
      <c r="A2" s="1">
        <v>2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7</v>
      </c>
      <c r="J2"/>
      <c r="T2"/>
      <c r="U2"/>
      <c r="V2"/>
    </row>
    <row r="3" spans="1:22">
      <c r="A3" s="1">
        <v>2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7</v>
      </c>
      <c r="J3"/>
      <c r="T3"/>
      <c r="U3"/>
      <c r="V3"/>
    </row>
    <row r="4" s="9" customFormat="1" spans="1:10">
      <c r="A4" s="4" t="s">
        <v>11</v>
      </c>
      <c r="B4" s="4"/>
      <c r="C4" s="4"/>
      <c r="D4" s="4"/>
      <c r="E4" s="4"/>
      <c r="F4" s="4"/>
      <c r="G4" s="4"/>
      <c r="H4" s="4"/>
      <c r="I4" s="4"/>
      <c r="J4" s="12"/>
    </row>
    <row r="5" s="9" customFormat="1" spans="1:10">
      <c r="A5" s="4">
        <v>1</v>
      </c>
      <c r="B5" s="4">
        <v>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12"/>
    </row>
    <row r="6" s="9" customFormat="1" spans="1:10">
      <c r="A6" s="4">
        <v>0</v>
      </c>
      <c r="B6" s="4">
        <v>1</v>
      </c>
      <c r="C6" s="4">
        <v>0</v>
      </c>
      <c r="D6" s="4">
        <v>1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12"/>
    </row>
    <row r="7" s="9" customFormat="1" spans="1:10">
      <c r="A7" s="4">
        <v>1</v>
      </c>
      <c r="B7" s="4">
        <v>0</v>
      </c>
      <c r="C7" s="4">
        <v>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12"/>
    </row>
    <row r="8" s="9" customFormat="1" spans="1:10">
      <c r="A8" s="4">
        <v>1</v>
      </c>
      <c r="B8" s="4">
        <v>0</v>
      </c>
      <c r="C8" s="4">
        <v>0</v>
      </c>
      <c r="D8" s="4">
        <v>0</v>
      </c>
      <c r="E8" s="4">
        <v>1</v>
      </c>
      <c r="F8" s="4">
        <v>0</v>
      </c>
      <c r="G8" s="4">
        <v>0</v>
      </c>
      <c r="H8" s="4">
        <v>0</v>
      </c>
      <c r="I8" s="4">
        <v>0</v>
      </c>
      <c r="J8" s="12"/>
    </row>
    <row r="9" s="9" customFormat="1" spans="1:10">
      <c r="A9" s="4">
        <v>0</v>
      </c>
      <c r="B9" s="4">
        <v>0</v>
      </c>
      <c r="C9" s="4">
        <v>0</v>
      </c>
      <c r="D9" s="4">
        <v>0</v>
      </c>
      <c r="E9" s="4">
        <v>2</v>
      </c>
      <c r="F9" s="4">
        <v>0</v>
      </c>
      <c r="G9" s="4">
        <v>0</v>
      </c>
      <c r="H9" s="4">
        <v>0</v>
      </c>
      <c r="I9" s="4">
        <v>0</v>
      </c>
      <c r="J9" s="12"/>
    </row>
    <row r="10" s="9" customFormat="1" spans="1:10">
      <c r="A10" s="4">
        <v>0</v>
      </c>
      <c r="B10" s="4">
        <v>0</v>
      </c>
      <c r="C10" s="4">
        <v>0</v>
      </c>
      <c r="D10" s="4">
        <v>1</v>
      </c>
      <c r="E10" s="4">
        <v>1</v>
      </c>
      <c r="F10" s="4">
        <v>0</v>
      </c>
      <c r="G10" s="4">
        <v>0</v>
      </c>
      <c r="H10" s="4">
        <v>0</v>
      </c>
      <c r="I10" s="4">
        <v>0</v>
      </c>
      <c r="J10" s="12"/>
    </row>
    <row r="11" s="9" customFormat="1" spans="1:10">
      <c r="A11" s="4">
        <v>0</v>
      </c>
      <c r="B11" s="4">
        <v>0</v>
      </c>
      <c r="C11" s="4">
        <v>0</v>
      </c>
      <c r="D11" s="4">
        <v>2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12"/>
    </row>
    <row r="12" s="9" customFormat="1" spans="1:10">
      <c r="A12" s="4">
        <v>0</v>
      </c>
      <c r="B12" s="4">
        <v>0</v>
      </c>
      <c r="C12" s="4">
        <v>1</v>
      </c>
      <c r="D12" s="4">
        <v>1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12"/>
    </row>
    <row r="13" s="9" customFormat="1" spans="1:10">
      <c r="A13" s="4">
        <v>0</v>
      </c>
      <c r="B13" s="4">
        <v>1</v>
      </c>
      <c r="C13" s="4">
        <v>0</v>
      </c>
      <c r="D13" s="4">
        <v>1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12"/>
    </row>
    <row r="14" s="9" customFormat="1" spans="1:10">
      <c r="A14" s="4">
        <v>0</v>
      </c>
      <c r="B14" s="4">
        <v>0</v>
      </c>
      <c r="C14" s="4">
        <v>0</v>
      </c>
      <c r="D14" s="4">
        <v>1</v>
      </c>
      <c r="E14" s="4">
        <v>0</v>
      </c>
      <c r="F14" s="4">
        <v>1</v>
      </c>
      <c r="G14" s="4">
        <v>0</v>
      </c>
      <c r="H14" s="4">
        <v>0</v>
      </c>
      <c r="I14" s="4">
        <v>0</v>
      </c>
      <c r="J14" s="12"/>
    </row>
    <row r="15" s="9" customFormat="1" spans="1:10">
      <c r="A15" s="4">
        <v>0</v>
      </c>
      <c r="B15" s="4">
        <v>0</v>
      </c>
      <c r="C15" s="4">
        <v>0</v>
      </c>
      <c r="D15" s="4">
        <v>1</v>
      </c>
      <c r="E15" s="4">
        <v>0</v>
      </c>
      <c r="F15" s="4">
        <v>1</v>
      </c>
      <c r="G15" s="4">
        <v>0</v>
      </c>
      <c r="H15" s="4">
        <v>0</v>
      </c>
      <c r="I15" s="4">
        <v>0</v>
      </c>
      <c r="J15" s="12"/>
    </row>
    <row r="16" s="9" customFormat="1" spans="1:10">
      <c r="A16" s="4">
        <v>0</v>
      </c>
      <c r="B16" s="4">
        <v>0</v>
      </c>
      <c r="C16" s="4">
        <v>1</v>
      </c>
      <c r="D16" s="4">
        <v>0</v>
      </c>
      <c r="E16" s="4">
        <v>0</v>
      </c>
      <c r="F16" s="4">
        <v>1</v>
      </c>
      <c r="G16" s="4">
        <v>0</v>
      </c>
      <c r="H16" s="4">
        <v>0</v>
      </c>
      <c r="I16" s="4">
        <v>0</v>
      </c>
      <c r="J16" s="12"/>
    </row>
    <row r="17" s="9" customFormat="1" spans="1:10">
      <c r="A17" s="4">
        <v>0</v>
      </c>
      <c r="B17" s="4">
        <v>0</v>
      </c>
      <c r="C17" s="4">
        <v>0</v>
      </c>
      <c r="D17" s="4">
        <v>0</v>
      </c>
      <c r="E17" s="4">
        <v>1</v>
      </c>
      <c r="F17" s="4">
        <v>1</v>
      </c>
      <c r="G17" s="4">
        <v>0</v>
      </c>
      <c r="H17" s="4">
        <v>0</v>
      </c>
      <c r="I17" s="4">
        <v>0</v>
      </c>
      <c r="J17" s="12"/>
    </row>
    <row r="18" s="9" customFormat="1" spans="1:10">
      <c r="A18" s="4">
        <v>0</v>
      </c>
      <c r="B18" s="4">
        <v>0</v>
      </c>
      <c r="C18" s="4">
        <v>0</v>
      </c>
      <c r="D18" s="4">
        <v>0</v>
      </c>
      <c r="E18" s="4">
        <v>0</v>
      </c>
      <c r="F18" s="4">
        <v>2</v>
      </c>
      <c r="G18" s="4">
        <v>0</v>
      </c>
      <c r="H18" s="4">
        <v>0</v>
      </c>
      <c r="I18" s="4">
        <v>0</v>
      </c>
      <c r="J18" s="12"/>
    </row>
    <row r="19" s="9" customFormat="1" spans="1:10">
      <c r="A19" s="4">
        <v>0</v>
      </c>
      <c r="B19" s="4">
        <v>0</v>
      </c>
      <c r="C19" s="4">
        <v>0</v>
      </c>
      <c r="D19" s="4">
        <v>1</v>
      </c>
      <c r="E19" s="4">
        <v>0</v>
      </c>
      <c r="F19" s="4">
        <v>0</v>
      </c>
      <c r="G19" s="4">
        <v>1</v>
      </c>
      <c r="H19" s="4">
        <v>0</v>
      </c>
      <c r="I19" s="4">
        <v>0</v>
      </c>
      <c r="J19" s="12"/>
    </row>
    <row r="20" s="9" customFormat="1" spans="1:10">
      <c r="A20" s="4">
        <v>0</v>
      </c>
      <c r="B20" s="4">
        <v>0</v>
      </c>
      <c r="C20" s="4">
        <v>1</v>
      </c>
      <c r="D20" s="4">
        <v>0</v>
      </c>
      <c r="E20" s="4">
        <v>0</v>
      </c>
      <c r="F20" s="4">
        <v>0</v>
      </c>
      <c r="G20" s="4">
        <v>1</v>
      </c>
      <c r="H20" s="4">
        <v>0</v>
      </c>
      <c r="I20" s="4">
        <v>0</v>
      </c>
      <c r="J20" s="12"/>
    </row>
    <row r="21" s="9" customFormat="1" spans="1:10">
      <c r="A21" s="4">
        <v>0</v>
      </c>
      <c r="B21" s="4">
        <v>0</v>
      </c>
      <c r="C21" s="4">
        <v>0</v>
      </c>
      <c r="D21" s="4">
        <v>0</v>
      </c>
      <c r="E21" s="4">
        <v>1</v>
      </c>
      <c r="F21" s="4">
        <v>0</v>
      </c>
      <c r="G21" s="4">
        <v>1</v>
      </c>
      <c r="H21" s="4">
        <v>0</v>
      </c>
      <c r="I21" s="4">
        <v>0</v>
      </c>
      <c r="J21" s="12"/>
    </row>
    <row r="22" s="9" customFormat="1" spans="1:10">
      <c r="A22" s="4">
        <v>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12"/>
    </row>
    <row r="23" s="9" customFormat="1" spans="1:10">
      <c r="A23" s="4">
        <v>0</v>
      </c>
      <c r="B23" s="4">
        <v>0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12"/>
    </row>
    <row r="24" s="9" customFormat="1" spans="1:22">
      <c r="A24" s="4" t="s">
        <v>12</v>
      </c>
      <c r="B24" s="4"/>
      <c r="C24" s="4"/>
      <c r="D24" s="4"/>
      <c r="E24" s="4"/>
      <c r="F24" s="4"/>
      <c r="G24" s="4"/>
      <c r="H24" s="4"/>
      <c r="I24" s="4"/>
      <c r="J24" s="12"/>
      <c r="T24" s="12"/>
      <c r="U24" s="12"/>
      <c r="V24" s="12"/>
    </row>
    <row r="25" s="9" customFormat="1" spans="1:22">
      <c r="A25" s="4">
        <v>0</v>
      </c>
      <c r="B25" s="4">
        <v>0</v>
      </c>
      <c r="C25" s="4">
        <v>0</v>
      </c>
      <c r="D25" s="4">
        <v>1</v>
      </c>
      <c r="E25" s="4">
        <v>0</v>
      </c>
      <c r="F25" s="4">
        <v>1</v>
      </c>
      <c r="G25" s="4">
        <v>0</v>
      </c>
      <c r="H25" s="4">
        <v>0</v>
      </c>
      <c r="I25" s="4">
        <v>0</v>
      </c>
      <c r="J25" s="12"/>
      <c r="T25" s="12"/>
      <c r="U25" s="12"/>
      <c r="V25" s="12"/>
    </row>
    <row r="26" s="9" customFormat="1" spans="1:22">
      <c r="A26" s="4">
        <v>0</v>
      </c>
      <c r="B26" s="4">
        <v>0</v>
      </c>
      <c r="C26" s="4">
        <v>1</v>
      </c>
      <c r="D26" s="4">
        <v>0</v>
      </c>
      <c r="E26" s="4">
        <v>1</v>
      </c>
      <c r="F26" s="4">
        <v>0</v>
      </c>
      <c r="G26" s="4">
        <v>0</v>
      </c>
      <c r="H26" s="4">
        <v>0</v>
      </c>
      <c r="I26" s="4">
        <v>0</v>
      </c>
      <c r="J26" s="12"/>
      <c r="T26" s="12"/>
      <c r="U26" s="12"/>
      <c r="V26" s="12"/>
    </row>
    <row r="27" s="9" customFormat="1" spans="1:22">
      <c r="A27" s="4">
        <v>0</v>
      </c>
      <c r="B27" s="4">
        <v>0</v>
      </c>
      <c r="C27" s="4">
        <v>0</v>
      </c>
      <c r="D27" s="4">
        <v>1</v>
      </c>
      <c r="E27" s="4">
        <v>1</v>
      </c>
      <c r="F27" s="4">
        <v>0</v>
      </c>
      <c r="G27" s="4">
        <v>0</v>
      </c>
      <c r="H27" s="4">
        <v>0</v>
      </c>
      <c r="I27" s="4">
        <v>0</v>
      </c>
      <c r="J27" s="12"/>
      <c r="T27" s="12"/>
      <c r="U27" s="12"/>
      <c r="V27" s="12"/>
    </row>
    <row r="28" s="9" customFormat="1" spans="1:22">
      <c r="A28" s="4">
        <v>0</v>
      </c>
      <c r="B28" s="4">
        <v>0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1</v>
      </c>
      <c r="I28" s="4">
        <v>0</v>
      </c>
      <c r="J28" s="12"/>
      <c r="T28" s="12"/>
      <c r="U28" s="12"/>
      <c r="V28" s="12"/>
    </row>
    <row r="29" s="9" customFormat="1" spans="1:22">
      <c r="A29" s="4">
        <v>0</v>
      </c>
      <c r="B29" s="4">
        <v>0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</v>
      </c>
      <c r="J29" s="12"/>
      <c r="T29" s="12"/>
      <c r="U29" s="12"/>
      <c r="V29" s="12"/>
    </row>
    <row r="30" s="9" customFormat="1" spans="1:22">
      <c r="A30" s="4">
        <v>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</v>
      </c>
      <c r="J30" s="12"/>
      <c r="T30" s="12"/>
      <c r="U30" s="12"/>
      <c r="V30" s="12"/>
    </row>
    <row r="31" s="9" customFormat="1" spans="1:22">
      <c r="A31" s="4">
        <v>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12"/>
      <c r="T31" s="12"/>
      <c r="U31" s="12"/>
      <c r="V31" s="12"/>
    </row>
    <row r="32" s="9" customFormat="1" spans="1:22">
      <c r="A32" s="4">
        <v>0</v>
      </c>
      <c r="B32" s="4">
        <v>0</v>
      </c>
      <c r="C32" s="4">
        <v>0</v>
      </c>
      <c r="D32" s="4">
        <v>0</v>
      </c>
      <c r="E32" s="4">
        <v>1</v>
      </c>
      <c r="F32" s="4">
        <v>0</v>
      </c>
      <c r="G32" s="4">
        <v>0</v>
      </c>
      <c r="H32" s="4">
        <v>0</v>
      </c>
      <c r="I32" s="4">
        <v>0</v>
      </c>
      <c r="J32" s="12"/>
      <c r="T32" s="12"/>
      <c r="U32" s="12"/>
      <c r="V32" s="12"/>
    </row>
    <row r="33" s="9" customFormat="1" spans="1:22">
      <c r="A33" s="4">
        <v>0</v>
      </c>
      <c r="B33" s="4">
        <v>0</v>
      </c>
      <c r="C33" s="4">
        <v>0</v>
      </c>
      <c r="D33" s="4">
        <v>0</v>
      </c>
      <c r="E33" s="4">
        <v>0</v>
      </c>
      <c r="F33" s="4">
        <v>1</v>
      </c>
      <c r="G33" s="4">
        <v>0</v>
      </c>
      <c r="H33" s="4">
        <v>0</v>
      </c>
      <c r="I33" s="4">
        <v>0</v>
      </c>
      <c r="J33" s="12"/>
      <c r="T33" s="12"/>
      <c r="U33" s="12"/>
      <c r="V33" s="12"/>
    </row>
    <row r="34" s="9" customFormat="1" spans="1:22">
      <c r="A34" s="4">
        <v>0</v>
      </c>
      <c r="B34" s="4">
        <v>0</v>
      </c>
      <c r="C34" s="4">
        <v>0</v>
      </c>
      <c r="D34" s="4">
        <v>0</v>
      </c>
      <c r="E34" s="4">
        <v>2</v>
      </c>
      <c r="F34" s="4">
        <v>0</v>
      </c>
      <c r="G34" s="4">
        <v>0</v>
      </c>
      <c r="H34" s="4">
        <v>0</v>
      </c>
      <c r="I34" s="4">
        <v>0</v>
      </c>
      <c r="J34" s="12"/>
      <c r="T34" s="12"/>
      <c r="U34" s="12"/>
      <c r="V34" s="12"/>
    </row>
    <row r="35" s="9" customFormat="1" spans="1:22">
      <c r="A35" s="4">
        <v>0</v>
      </c>
      <c r="B35" s="4">
        <v>0</v>
      </c>
      <c r="C35" s="4">
        <v>1</v>
      </c>
      <c r="D35" s="4">
        <v>0</v>
      </c>
      <c r="E35" s="4">
        <v>0</v>
      </c>
      <c r="F35" s="4">
        <v>0</v>
      </c>
      <c r="G35" s="4">
        <v>0</v>
      </c>
      <c r="H35" s="4">
        <v>1</v>
      </c>
      <c r="I35" s="4">
        <v>0</v>
      </c>
      <c r="J35" s="12"/>
      <c r="T35" s="12"/>
      <c r="U35" s="12"/>
      <c r="V35" s="12"/>
    </row>
    <row r="36" s="9" customFormat="1" spans="1:22">
      <c r="A36" s="4">
        <v>0</v>
      </c>
      <c r="B36" s="4">
        <v>1</v>
      </c>
      <c r="C36" s="4">
        <v>0</v>
      </c>
      <c r="D36" s="4">
        <v>0</v>
      </c>
      <c r="E36" s="4">
        <v>1</v>
      </c>
      <c r="F36" s="4">
        <v>0</v>
      </c>
      <c r="G36" s="4">
        <v>0</v>
      </c>
      <c r="H36" s="4">
        <v>0</v>
      </c>
      <c r="I36" s="4">
        <v>0</v>
      </c>
      <c r="J36" s="12"/>
      <c r="T36" s="12"/>
      <c r="U36" s="12"/>
      <c r="V36" s="12"/>
    </row>
    <row r="37" s="9" customFormat="1" spans="1:22">
      <c r="A37" s="4">
        <v>0</v>
      </c>
      <c r="B37" s="4">
        <v>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1</v>
      </c>
      <c r="I37" s="4">
        <v>0</v>
      </c>
      <c r="J37" s="12"/>
      <c r="T37" s="12"/>
      <c r="U37" s="12"/>
      <c r="V37" s="12"/>
    </row>
    <row r="38" s="9" customFormat="1" spans="1:22">
      <c r="A38" s="4">
        <v>0</v>
      </c>
      <c r="B38" s="4">
        <v>1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12"/>
      <c r="T38" s="12"/>
      <c r="U38" s="12"/>
      <c r="V38" s="12"/>
    </row>
    <row r="39" s="9" customFormat="1" spans="1:22">
      <c r="A39" s="4">
        <v>1</v>
      </c>
      <c r="B39" s="4">
        <v>0</v>
      </c>
      <c r="C39" s="4">
        <v>0</v>
      </c>
      <c r="D39" s="4">
        <v>0</v>
      </c>
      <c r="E39" s="4">
        <v>0</v>
      </c>
      <c r="F39" s="4">
        <v>1</v>
      </c>
      <c r="G39" s="4">
        <v>0</v>
      </c>
      <c r="H39" s="4">
        <v>0</v>
      </c>
      <c r="I39" s="4">
        <v>0</v>
      </c>
      <c r="J39" s="12"/>
      <c r="T39" s="12"/>
      <c r="U39" s="12"/>
      <c r="V39" s="12"/>
    </row>
    <row r="40" s="9" customFormat="1" spans="1:22">
      <c r="A40" s="4">
        <v>0</v>
      </c>
      <c r="B40" s="4">
        <v>0</v>
      </c>
      <c r="C40" s="4">
        <v>0</v>
      </c>
      <c r="D40" s="4">
        <v>0</v>
      </c>
      <c r="E40" s="4">
        <v>1</v>
      </c>
      <c r="F40" s="4">
        <v>1</v>
      </c>
      <c r="G40" s="4">
        <v>0</v>
      </c>
      <c r="H40" s="4">
        <v>0</v>
      </c>
      <c r="I40" s="4">
        <v>0</v>
      </c>
      <c r="J40" s="12"/>
      <c r="T40" s="12"/>
      <c r="U40" s="12"/>
      <c r="V40" s="12"/>
    </row>
    <row r="41" s="9" customFormat="1" spans="1:22">
      <c r="A41" s="4">
        <v>0</v>
      </c>
      <c r="B41" s="4">
        <v>0</v>
      </c>
      <c r="C41" s="4">
        <v>0</v>
      </c>
      <c r="D41" s="4">
        <v>0</v>
      </c>
      <c r="E41" s="4">
        <v>0</v>
      </c>
      <c r="F41" s="4">
        <v>1</v>
      </c>
      <c r="G41" s="4">
        <v>0</v>
      </c>
      <c r="H41" s="4">
        <v>1</v>
      </c>
      <c r="I41" s="4">
        <v>0</v>
      </c>
      <c r="J41" s="12"/>
      <c r="T41" s="12"/>
      <c r="U41" s="12"/>
      <c r="V41" s="12"/>
    </row>
    <row r="42" s="9" customFormat="1" spans="1:22">
      <c r="A42" s="4">
        <v>0</v>
      </c>
      <c r="B42" s="4">
        <v>0</v>
      </c>
      <c r="C42" s="4">
        <v>0</v>
      </c>
      <c r="D42" s="4">
        <v>0</v>
      </c>
      <c r="E42" s="4">
        <v>2</v>
      </c>
      <c r="F42" s="4">
        <v>0</v>
      </c>
      <c r="G42" s="4">
        <v>0</v>
      </c>
      <c r="H42" s="4">
        <v>0</v>
      </c>
      <c r="I42" s="4">
        <v>0</v>
      </c>
      <c r="J42" s="12"/>
      <c r="T42" s="12"/>
      <c r="U42" s="12"/>
      <c r="V42" s="12"/>
    </row>
    <row r="43" s="9" customFormat="1" spans="1:22">
      <c r="A43" s="4">
        <v>0</v>
      </c>
      <c r="B43" s="4">
        <v>1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12"/>
      <c r="T43" s="12"/>
      <c r="U43" s="12"/>
      <c r="V43" s="12"/>
    </row>
    <row r="44" spans="1:9">
      <c r="A44" s="4" t="s">
        <v>13</v>
      </c>
      <c r="B44" s="4"/>
      <c r="C44" s="4"/>
      <c r="D44" s="4"/>
      <c r="E44" s="4"/>
      <c r="F44" s="4"/>
      <c r="G44" s="4"/>
      <c r="H44" s="4"/>
      <c r="I44" s="4"/>
    </row>
    <row r="45" spans="1:9">
      <c r="A45" s="4">
        <v>0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</row>
    <row r="46" spans="1:9">
      <c r="A46" s="4">
        <v>0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</row>
    <row r="47" spans="1:9">
      <c r="A47" s="4">
        <v>0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</row>
    <row r="48" spans="1:9">
      <c r="A48" s="4">
        <v>0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</row>
    <row r="49" spans="1:9">
      <c r="A49" s="4">
        <v>0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</row>
    <row r="50" spans="1:9">
      <c r="A50" s="4">
        <v>1</v>
      </c>
      <c r="B50" s="4">
        <v>1</v>
      </c>
      <c r="C50" s="4">
        <v>1</v>
      </c>
      <c r="D50" s="4">
        <v>1</v>
      </c>
      <c r="E50" s="4">
        <v>1</v>
      </c>
      <c r="F50" s="4">
        <v>1</v>
      </c>
      <c r="G50" s="4">
        <v>1</v>
      </c>
      <c r="H50" s="4">
        <v>6</v>
      </c>
      <c r="I50" s="4">
        <v>1</v>
      </c>
    </row>
    <row r="51" spans="1:9">
      <c r="A51" s="4">
        <v>2</v>
      </c>
      <c r="B51" s="4">
        <v>1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6</v>
      </c>
      <c r="I51" s="4">
        <v>1</v>
      </c>
    </row>
    <row r="52" spans="1:9">
      <c r="A52" s="4">
        <v>1</v>
      </c>
      <c r="B52" s="4">
        <v>1</v>
      </c>
      <c r="C52" s="4">
        <v>1</v>
      </c>
      <c r="D52" s="4">
        <v>1</v>
      </c>
      <c r="E52" s="4">
        <v>1</v>
      </c>
      <c r="F52" s="4">
        <v>1</v>
      </c>
      <c r="G52" s="4">
        <v>1</v>
      </c>
      <c r="H52" s="4">
        <v>6</v>
      </c>
      <c r="I52" s="4">
        <v>1</v>
      </c>
    </row>
    <row r="53" spans="1:9">
      <c r="A53" s="4">
        <v>2</v>
      </c>
      <c r="B53" s="4">
        <v>1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6</v>
      </c>
      <c r="I53" s="4">
        <v>1</v>
      </c>
    </row>
    <row r="54" spans="1:9">
      <c r="A54" s="4">
        <v>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</row>
    <row r="55" spans="1:9">
      <c r="A55" s="4">
        <v>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</row>
    <row r="56" spans="1:9">
      <c r="A56" s="4">
        <v>0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</row>
    <row r="57" spans="1:9">
      <c r="A57" s="4">
        <v>0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</row>
    <row r="58" spans="1:9">
      <c r="A58" s="4">
        <v>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</row>
    <row r="59" spans="1:9">
      <c r="A59" s="4">
        <v>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</row>
    <row r="60" spans="1:9">
      <c r="A60" s="4">
        <v>0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</row>
    <row r="61" spans="1:9">
      <c r="A61" s="4">
        <v>0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</row>
    <row r="62" spans="1:9">
      <c r="A62" s="4">
        <v>1</v>
      </c>
      <c r="B62" s="4">
        <v>1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4">
        <v>15</v>
      </c>
      <c r="I62" s="4">
        <v>1</v>
      </c>
    </row>
    <row r="63" spans="1:9">
      <c r="A63" s="4">
        <v>1</v>
      </c>
      <c r="B63" s="4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</row>
    <row r="64" spans="1:3">
      <c r="A64" s="4" t="s">
        <v>14</v>
      </c>
      <c r="B64" s="4"/>
      <c r="C64" s="4"/>
    </row>
    <row r="65" spans="1:4">
      <c r="A65" s="13">
        <v>100000000000000</v>
      </c>
      <c r="B65" s="14">
        <v>0</v>
      </c>
      <c r="C65" s="14">
        <v>56000</v>
      </c>
      <c r="D65" s="1" t="s">
        <v>17</v>
      </c>
    </row>
    <row r="66" spans="1:4">
      <c r="A66" s="13">
        <v>260000000000000</v>
      </c>
      <c r="B66" s="14">
        <v>0</v>
      </c>
      <c r="C66" s="14">
        <v>16800</v>
      </c>
      <c r="D66" s="1" t="s">
        <v>17</v>
      </c>
    </row>
    <row r="67" spans="1:3">
      <c r="A67" s="13">
        <v>18000000000</v>
      </c>
      <c r="B67" s="14">
        <v>1</v>
      </c>
      <c r="C67" s="14">
        <v>8900</v>
      </c>
    </row>
    <row r="68" spans="1:3">
      <c r="A68" s="13">
        <v>22000000000000</v>
      </c>
      <c r="B68" s="14">
        <v>0</v>
      </c>
      <c r="C68" s="14">
        <v>5150</v>
      </c>
    </row>
    <row r="69" spans="1:3">
      <c r="A69" s="13">
        <v>6300000000000</v>
      </c>
      <c r="B69" s="4">
        <v>0</v>
      </c>
      <c r="C69" s="14">
        <v>1090</v>
      </c>
    </row>
    <row r="70" spans="1:3">
      <c r="A70" s="13">
        <v>2.2e+19</v>
      </c>
      <c r="B70" s="4">
        <v>-2</v>
      </c>
      <c r="C70" s="14">
        <v>0</v>
      </c>
    </row>
    <row r="71" spans="1:3">
      <c r="A71" s="13">
        <v>640000000000000</v>
      </c>
      <c r="B71" s="4">
        <v>-1</v>
      </c>
      <c r="C71" s="14">
        <v>0</v>
      </c>
    </row>
    <row r="72" spans="1:4">
      <c r="A72" s="13">
        <v>60000000000000</v>
      </c>
      <c r="B72" s="4">
        <v>-0.6</v>
      </c>
      <c r="C72" s="14">
        <v>0</v>
      </c>
      <c r="D72" s="1" t="s">
        <v>17</v>
      </c>
    </row>
    <row r="73" spans="1:4">
      <c r="A73" s="13">
        <v>2100000000000</v>
      </c>
      <c r="B73" s="14">
        <v>0</v>
      </c>
      <c r="C73" s="14">
        <v>-1000</v>
      </c>
      <c r="D73" s="1" t="s">
        <v>17</v>
      </c>
    </row>
    <row r="74" spans="1:3">
      <c r="A74" s="13">
        <v>140000000000000</v>
      </c>
      <c r="B74" s="14">
        <v>0</v>
      </c>
      <c r="C74" s="14">
        <v>1080</v>
      </c>
    </row>
    <row r="75" spans="1:4">
      <c r="A75" s="13">
        <v>10000000000000</v>
      </c>
      <c r="B75" s="14">
        <v>0</v>
      </c>
      <c r="C75" s="14">
        <v>1080</v>
      </c>
      <c r="D75" s="1" t="s">
        <v>17</v>
      </c>
    </row>
    <row r="76" spans="1:4">
      <c r="A76" s="13">
        <v>15000000000000</v>
      </c>
      <c r="B76" s="14">
        <v>0</v>
      </c>
      <c r="C76" s="14">
        <v>950</v>
      </c>
      <c r="D76" s="1" t="s">
        <v>17</v>
      </c>
    </row>
    <row r="77" spans="1:3">
      <c r="A77" s="13">
        <v>8000000000000</v>
      </c>
      <c r="B77" s="4">
        <v>0</v>
      </c>
      <c r="C77" s="14">
        <v>0</v>
      </c>
    </row>
    <row r="78" spans="1:3">
      <c r="A78" s="13">
        <v>2000000000000</v>
      </c>
      <c r="B78" s="4">
        <v>0</v>
      </c>
      <c r="C78" s="14">
        <v>0</v>
      </c>
    </row>
    <row r="79" spans="1:3">
      <c r="A79" s="13">
        <v>1400000000000</v>
      </c>
      <c r="B79" s="14">
        <v>0</v>
      </c>
      <c r="C79" s="14">
        <v>3600</v>
      </c>
    </row>
    <row r="80" spans="1:4">
      <c r="A80" s="13">
        <v>14000000000000</v>
      </c>
      <c r="B80" s="14">
        <v>0</v>
      </c>
      <c r="C80" s="14">
        <v>6400</v>
      </c>
      <c r="D80" s="1" t="s">
        <v>17</v>
      </c>
    </row>
    <row r="81" spans="1:4">
      <c r="A81" s="13">
        <v>6100000000000</v>
      </c>
      <c r="B81" s="14">
        <v>0</v>
      </c>
      <c r="C81" s="14">
        <v>1430</v>
      </c>
      <c r="D81" s="1" t="s">
        <v>17</v>
      </c>
    </row>
    <row r="82" spans="1:3">
      <c r="A82" s="13">
        <v>1.2e+17</v>
      </c>
      <c r="B82" s="14">
        <v>0</v>
      </c>
      <c r="C82" s="14">
        <v>45500</v>
      </c>
    </row>
    <row r="83" spans="1:4">
      <c r="A83" s="13">
        <v>60000000000</v>
      </c>
      <c r="B83" s="14">
        <v>0</v>
      </c>
      <c r="C83" s="14">
        <v>-1800</v>
      </c>
      <c r="D83" s="1" t="s">
        <v>17</v>
      </c>
    </row>
    <row r="84" spans="4:4">
      <c r="D84" s="1" t="s">
        <v>17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3"/>
  <sheetViews>
    <sheetView topLeftCell="A87" workbookViewId="0">
      <selection activeCell="A1" sqref="A1:I90"/>
    </sheetView>
  </sheetViews>
  <sheetFormatPr defaultColWidth="8.83333333333333" defaultRowHeight="13.5"/>
  <cols>
    <col min="1" max="1" width="8.83333333333333" style="1"/>
    <col min="2" max="2" width="10.5" style="1" customWidth="1"/>
    <col min="3" max="3" width="9.5" style="1" customWidth="1"/>
    <col min="4" max="9" width="8.83333333333333" style="1"/>
  </cols>
  <sheetData>
    <row r="1" spans="1:9">
      <c r="A1" s="1" t="s">
        <v>34</v>
      </c>
      <c r="B1" s="1" t="s">
        <v>35</v>
      </c>
      <c r="C1" s="1" t="s">
        <v>22</v>
      </c>
      <c r="D1" s="1" t="s">
        <v>23</v>
      </c>
      <c r="E1" s="1" t="s">
        <v>36</v>
      </c>
      <c r="F1" s="1" t="s">
        <v>37</v>
      </c>
      <c r="G1" s="1" t="s">
        <v>38</v>
      </c>
      <c r="H1" s="1" t="s">
        <v>27</v>
      </c>
      <c r="I1" s="1" t="s">
        <v>8</v>
      </c>
    </row>
    <row r="2" spans="1:9">
      <c r="A2" s="1">
        <v>2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7</v>
      </c>
    </row>
    <row r="3" spans="1:1">
      <c r="A3" s="1" t="s">
        <v>11</v>
      </c>
    </row>
    <row r="4" spans="1:9">
      <c r="A4" s="1">
        <v>0</v>
      </c>
      <c r="B4" s="1">
        <v>1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>
        <v>1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>
        <v>1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>
        <v>0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</row>
    <row r="8" spans="1:9">
      <c r="A8" s="1">
        <v>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>
        <v>0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>
      <c r="A10" s="1">
        <v>0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</row>
    <row r="12" spans="1:9">
      <c r="A12" s="1">
        <v>0</v>
      </c>
      <c r="B12" s="1">
        <v>1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>
      <c r="A13" s="1">
        <v>0</v>
      </c>
      <c r="B13" s="1">
        <v>0</v>
      </c>
      <c r="C13" s="1">
        <v>0</v>
      </c>
      <c r="D13" s="1">
        <v>1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</row>
    <row r="14" spans="1:9">
      <c r="A14" s="1">
        <v>0</v>
      </c>
      <c r="B14" s="1">
        <v>0</v>
      </c>
      <c r="C14" s="1">
        <v>0</v>
      </c>
      <c r="D14" s="1">
        <v>1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</row>
    <row r="15" spans="1:9">
      <c r="A15" s="1">
        <v>0</v>
      </c>
      <c r="B15" s="1">
        <v>0</v>
      </c>
      <c r="C15" s="1">
        <v>1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</row>
    <row r="16" spans="1:9">
      <c r="A16" s="1">
        <v>0</v>
      </c>
      <c r="B16" s="1">
        <v>0</v>
      </c>
      <c r="C16" s="1">
        <v>0</v>
      </c>
      <c r="D16" s="1">
        <v>0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</row>
    <row r="17" spans="1:9">
      <c r="A17" s="1">
        <v>0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</row>
    <row r="18" spans="1:9">
      <c r="A18" s="1">
        <v>0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1">
        <v>0</v>
      </c>
    </row>
    <row r="19" spans="1:9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</row>
    <row r="20" spans="1:9">
      <c r="A20" s="1">
        <v>0</v>
      </c>
      <c r="B20" s="1">
        <v>0</v>
      </c>
      <c r="C20" s="1">
        <v>0</v>
      </c>
      <c r="D20" s="1">
        <v>1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</row>
    <row r="21" spans="1:9">
      <c r="A21" s="1">
        <v>0</v>
      </c>
      <c r="B21" s="1">
        <v>0</v>
      </c>
      <c r="C21" s="1">
        <v>0</v>
      </c>
      <c r="D21" s="1">
        <v>1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</row>
    <row r="22" spans="1:9">
      <c r="A22" s="1">
        <v>0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</row>
    <row r="23" spans="1:9">
      <c r="A23" s="1">
        <v>0</v>
      </c>
      <c r="B23" s="1">
        <v>0</v>
      </c>
      <c r="C23" s="1">
        <v>0</v>
      </c>
      <c r="D23" s="1">
        <v>0</v>
      </c>
      <c r="E23" s="1">
        <v>1</v>
      </c>
      <c r="F23" s="1">
        <v>0</v>
      </c>
      <c r="G23" s="1">
        <v>1</v>
      </c>
      <c r="H23" s="1">
        <v>0</v>
      </c>
      <c r="I23" s="1">
        <v>0</v>
      </c>
    </row>
    <row r="24" spans="1:9">
      <c r="A24" s="1">
        <v>0</v>
      </c>
      <c r="B24" s="1">
        <v>0</v>
      </c>
      <c r="C24" s="1">
        <v>0</v>
      </c>
      <c r="D24" s="1">
        <v>0</v>
      </c>
      <c r="E24" s="1">
        <v>1</v>
      </c>
      <c r="F24" s="1">
        <v>0</v>
      </c>
      <c r="G24" s="1">
        <v>1</v>
      </c>
      <c r="H24" s="1">
        <v>0</v>
      </c>
      <c r="I24" s="1">
        <v>0</v>
      </c>
    </row>
    <row r="25" spans="1:1">
      <c r="A25" s="1" t="s">
        <v>12</v>
      </c>
    </row>
    <row r="26" spans="1:9">
      <c r="A26" s="1">
        <v>0</v>
      </c>
      <c r="B26" s="1">
        <v>0</v>
      </c>
      <c r="C26" s="1">
        <v>1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</row>
    <row r="27" spans="1:9">
      <c r="A27" s="1">
        <v>0</v>
      </c>
      <c r="B27" s="1">
        <v>0</v>
      </c>
      <c r="C27" s="1">
        <v>0</v>
      </c>
      <c r="D27" s="1">
        <v>1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</row>
    <row r="28" spans="1:9">
      <c r="A28" s="1">
        <v>0</v>
      </c>
      <c r="B28" s="1">
        <v>0</v>
      </c>
      <c r="C28" s="1">
        <v>0</v>
      </c>
      <c r="D28" s="1">
        <v>1</v>
      </c>
      <c r="E28" s="1">
        <v>0</v>
      </c>
      <c r="F28" s="1">
        <v>0</v>
      </c>
      <c r="G28" s="1">
        <v>0</v>
      </c>
      <c r="H28" s="1">
        <v>1</v>
      </c>
      <c r="I28" s="1">
        <v>0</v>
      </c>
    </row>
    <row r="29" spans="1:9">
      <c r="A29" s="1">
        <v>0</v>
      </c>
      <c r="B29" s="1">
        <v>0</v>
      </c>
      <c r="C29" s="1">
        <v>0</v>
      </c>
      <c r="D29" s="1">
        <v>0</v>
      </c>
      <c r="E29" s="1">
        <v>2</v>
      </c>
      <c r="F29" s="1">
        <v>0</v>
      </c>
      <c r="G29" s="1">
        <v>0</v>
      </c>
      <c r="H29" s="1">
        <v>0</v>
      </c>
      <c r="I29" s="1">
        <v>0</v>
      </c>
    </row>
    <row r="30" spans="1:9">
      <c r="A30" s="1">
        <v>0</v>
      </c>
      <c r="B30" s="1">
        <v>0</v>
      </c>
      <c r="C30" s="1">
        <v>0</v>
      </c>
      <c r="D30" s="1">
        <v>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>
      <c r="A31" s="1">
        <v>0</v>
      </c>
      <c r="B31" s="1">
        <v>0</v>
      </c>
      <c r="C31" s="1">
        <v>2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>
      <c r="A32" s="1">
        <v>0</v>
      </c>
      <c r="B32" s="1">
        <v>0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 spans="1:9">
      <c r="A33" s="1">
        <v>0</v>
      </c>
      <c r="B33" s="1">
        <v>0</v>
      </c>
      <c r="C33" s="1">
        <v>0</v>
      </c>
      <c r="D33" s="1">
        <v>1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</row>
    <row r="34" spans="1:9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</row>
    <row r="35" spans="1:9">
      <c r="A35" s="1">
        <v>1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s="1">
        <v>0</v>
      </c>
      <c r="B36" s="1">
        <v>0</v>
      </c>
      <c r="C36" s="1">
        <v>0</v>
      </c>
      <c r="D36" s="1">
        <v>0</v>
      </c>
      <c r="E36" s="1">
        <v>2</v>
      </c>
      <c r="F36" s="1">
        <v>0</v>
      </c>
      <c r="G36" s="1">
        <v>0</v>
      </c>
      <c r="H36" s="1">
        <v>0</v>
      </c>
      <c r="I36" s="1">
        <v>0</v>
      </c>
    </row>
    <row r="37" spans="1:9">
      <c r="A37" s="1">
        <v>0</v>
      </c>
      <c r="B37" s="1">
        <v>1</v>
      </c>
      <c r="C37" s="1">
        <v>0</v>
      </c>
      <c r="D37" s="1">
        <v>0</v>
      </c>
      <c r="E37" s="1">
        <v>1</v>
      </c>
      <c r="F37" s="1">
        <v>0</v>
      </c>
      <c r="G37" s="1">
        <v>0</v>
      </c>
      <c r="H37" s="1">
        <v>0</v>
      </c>
      <c r="I37" s="1">
        <v>0</v>
      </c>
    </row>
    <row r="38" spans="1:9">
      <c r="A38" s="1">
        <v>0</v>
      </c>
      <c r="B38" s="1">
        <v>1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</row>
    <row r="39" spans="1:9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2</v>
      </c>
      <c r="G39" s="1">
        <v>0</v>
      </c>
      <c r="H39" s="1">
        <v>0</v>
      </c>
      <c r="I39" s="1">
        <v>0</v>
      </c>
    </row>
    <row r="40" spans="1:9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2</v>
      </c>
      <c r="G40" s="1">
        <v>0</v>
      </c>
      <c r="H40" s="1">
        <v>0</v>
      </c>
      <c r="I40" s="1">
        <v>0</v>
      </c>
    </row>
    <row r="41" spans="1:9">
      <c r="A41" s="1">
        <v>0</v>
      </c>
      <c r="B41" s="1">
        <v>0</v>
      </c>
      <c r="C41" s="1">
        <v>0</v>
      </c>
      <c r="D41" s="1">
        <v>0</v>
      </c>
      <c r="E41" s="1">
        <v>2</v>
      </c>
      <c r="F41" s="1">
        <v>0</v>
      </c>
      <c r="G41" s="1">
        <v>0</v>
      </c>
      <c r="H41" s="1">
        <v>0</v>
      </c>
      <c r="I41" s="1">
        <v>0</v>
      </c>
    </row>
    <row r="42" spans="1:9">
      <c r="A42" s="1">
        <v>0</v>
      </c>
      <c r="B42" s="1">
        <v>0</v>
      </c>
      <c r="C42" s="1">
        <v>0</v>
      </c>
      <c r="D42" s="1">
        <v>0</v>
      </c>
      <c r="E42" s="1">
        <v>1</v>
      </c>
      <c r="F42" s="1">
        <v>0</v>
      </c>
      <c r="G42" s="1">
        <v>0</v>
      </c>
      <c r="H42" s="1">
        <v>1</v>
      </c>
      <c r="I42" s="1">
        <v>0</v>
      </c>
    </row>
    <row r="43" spans="1:9">
      <c r="A43" s="1">
        <v>1</v>
      </c>
      <c r="B43" s="1">
        <v>0</v>
      </c>
      <c r="C43" s="1">
        <v>0</v>
      </c>
      <c r="D43" s="1">
        <v>0</v>
      </c>
      <c r="E43" s="1">
        <v>0</v>
      </c>
      <c r="F43" s="1">
        <v>1</v>
      </c>
      <c r="G43" s="1">
        <v>0</v>
      </c>
      <c r="H43" s="1">
        <v>0</v>
      </c>
      <c r="I43" s="1">
        <v>0</v>
      </c>
    </row>
    <row r="44" spans="1:9">
      <c r="A44" s="1">
        <v>0</v>
      </c>
      <c r="B44" s="1">
        <v>0</v>
      </c>
      <c r="C44" s="1">
        <v>0</v>
      </c>
      <c r="D44" s="1">
        <v>0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</row>
    <row r="45" spans="1:9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  <c r="H45" s="1">
        <v>1</v>
      </c>
      <c r="I45" s="1">
        <v>0</v>
      </c>
    </row>
    <row r="46" spans="1:9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  <c r="G46" s="1">
        <v>0</v>
      </c>
      <c r="H46" s="1">
        <v>1</v>
      </c>
      <c r="I46" s="1">
        <v>0</v>
      </c>
    </row>
    <row r="47" spans="1:1">
      <c r="A47" s="1" t="s">
        <v>13</v>
      </c>
    </row>
    <row r="48" spans="1:9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 spans="1:9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 spans="1:9">
      <c r="A52" s="1">
        <v>2.5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12</v>
      </c>
      <c r="I52" s="1">
        <v>1</v>
      </c>
    </row>
    <row r="53" spans="1:9">
      <c r="A53" s="1">
        <v>2.5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">
        <v>12</v>
      </c>
      <c r="I53" s="1">
        <v>1</v>
      </c>
    </row>
    <row r="54" spans="1:9">
      <c r="A54" s="1">
        <v>2.5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12</v>
      </c>
      <c r="I54" s="1">
        <v>1</v>
      </c>
    </row>
    <row r="55" spans="1:9">
      <c r="A55" s="1">
        <v>0.73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12</v>
      </c>
      <c r="I55" s="1">
        <v>1</v>
      </c>
    </row>
    <row r="56" spans="1:9">
      <c r="A56" s="1">
        <v>1.3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14</v>
      </c>
      <c r="I56" s="1">
        <v>1</v>
      </c>
    </row>
    <row r="57" spans="1:9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</row>
    <row r="58" spans="1:9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9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 spans="1:9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 spans="1:9">
      <c r="A63" s="1">
        <v>2.5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12</v>
      </c>
      <c r="I63" s="1">
        <v>1</v>
      </c>
    </row>
    <row r="64" spans="1:9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</row>
    <row r="65" spans="1:9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</row>
    <row r="66" spans="1:9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</row>
    <row r="67" spans="1:9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</row>
    <row r="68" spans="1:9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</row>
    <row r="69" spans="1:1">
      <c r="A69" s="1" t="s">
        <v>14</v>
      </c>
    </row>
    <row r="70" spans="1:3">
      <c r="A70" s="7">
        <v>191000000000000</v>
      </c>
      <c r="B70" s="8">
        <v>0</v>
      </c>
      <c r="C70" s="8">
        <v>16440</v>
      </c>
    </row>
    <row r="71" spans="1:4">
      <c r="A71" s="7">
        <v>50800</v>
      </c>
      <c r="B71" s="8">
        <v>2.67</v>
      </c>
      <c r="C71" s="8">
        <v>6292</v>
      </c>
      <c r="D71" s="1" t="s">
        <v>17</v>
      </c>
    </row>
    <row r="72" spans="1:4">
      <c r="A72" s="7">
        <v>216000000</v>
      </c>
      <c r="B72" s="8">
        <v>1.51</v>
      </c>
      <c r="C72" s="8">
        <v>3430</v>
      </c>
      <c r="D72" s="1" t="s">
        <v>17</v>
      </c>
    </row>
    <row r="73" spans="1:3">
      <c r="A73" s="7">
        <v>2970000</v>
      </c>
      <c r="B73" s="8">
        <v>2.02</v>
      </c>
      <c r="C73" s="8">
        <v>13400</v>
      </c>
    </row>
    <row r="74" spans="1:3">
      <c r="A74" s="1" t="s">
        <v>39</v>
      </c>
      <c r="B74" s="8">
        <v>104400</v>
      </c>
      <c r="C74" s="8"/>
    </row>
    <row r="75" spans="1:3">
      <c r="A75" s="1" t="s">
        <v>40</v>
      </c>
      <c r="B75" s="8">
        <v>118900</v>
      </c>
      <c r="C75" s="8"/>
    </row>
    <row r="76" spans="1:3">
      <c r="A76" s="1" t="s">
        <v>41</v>
      </c>
      <c r="B76" s="8">
        <v>102100</v>
      </c>
      <c r="C76" s="8"/>
    </row>
    <row r="77" spans="1:3">
      <c r="A77" s="1" t="s">
        <v>42</v>
      </c>
      <c r="B77" s="8">
        <v>118500</v>
      </c>
      <c r="C77" s="8"/>
    </row>
    <row r="78" spans="1:4">
      <c r="A78" s="7">
        <v>1480000000000</v>
      </c>
      <c r="B78" s="8">
        <v>0.6</v>
      </c>
      <c r="C78" s="8">
        <v>0</v>
      </c>
      <c r="D78" s="1" t="s">
        <v>17</v>
      </c>
    </row>
    <row r="79" spans="1:4">
      <c r="A79" s="7">
        <v>16600000000000</v>
      </c>
      <c r="B79" s="8">
        <v>0</v>
      </c>
      <c r="C79" s="8">
        <v>823</v>
      </c>
      <c r="D79" s="1" t="s">
        <v>17</v>
      </c>
    </row>
    <row r="80" spans="1:3">
      <c r="A80" s="7">
        <v>70800000000000</v>
      </c>
      <c r="B80" s="8">
        <v>0</v>
      </c>
      <c r="C80" s="8">
        <v>295</v>
      </c>
    </row>
    <row r="81" spans="1:4">
      <c r="A81" s="7">
        <v>32500000000000</v>
      </c>
      <c r="B81" s="8">
        <v>0</v>
      </c>
      <c r="C81" s="8">
        <v>0</v>
      </c>
      <c r="D81" s="1" t="s">
        <v>17</v>
      </c>
    </row>
    <row r="82" spans="1:4">
      <c r="A82" s="7">
        <v>28900000000000</v>
      </c>
      <c r="B82" s="8">
        <v>0</v>
      </c>
      <c r="C82" s="8">
        <v>-497</v>
      </c>
      <c r="D82" s="1" t="s">
        <v>17</v>
      </c>
    </row>
    <row r="83" spans="1:3">
      <c r="A83" s="1" t="s">
        <v>43</v>
      </c>
      <c r="B83" s="8">
        <v>50670</v>
      </c>
      <c r="C83" s="8"/>
    </row>
    <row r="84" spans="1:3">
      <c r="A84" s="1" t="s">
        <v>44</v>
      </c>
      <c r="B84" s="8">
        <v>37060</v>
      </c>
      <c r="C84" s="8"/>
    </row>
    <row r="85" spans="1:3">
      <c r="A85" s="7">
        <v>295000000000000</v>
      </c>
      <c r="B85" s="8">
        <v>0</v>
      </c>
      <c r="C85" s="8">
        <v>48430</v>
      </c>
    </row>
    <row r="86" spans="1:4">
      <c r="A86" s="7">
        <v>24100000000000</v>
      </c>
      <c r="B86" s="8">
        <v>0</v>
      </c>
      <c r="C86" s="8">
        <v>3970</v>
      </c>
      <c r="D86" s="1" t="s">
        <v>17</v>
      </c>
    </row>
    <row r="87" spans="1:4">
      <c r="A87" s="7">
        <v>60300000000000</v>
      </c>
      <c r="B87" s="8">
        <v>0</v>
      </c>
      <c r="C87" s="8">
        <v>7950</v>
      </c>
      <c r="D87" s="1" t="s">
        <v>17</v>
      </c>
    </row>
    <row r="88" spans="1:3">
      <c r="A88" s="7">
        <v>9550000</v>
      </c>
      <c r="B88" s="8">
        <v>2</v>
      </c>
      <c r="C88" s="8">
        <v>3970</v>
      </c>
    </row>
    <row r="89" spans="1:4">
      <c r="A89" s="7">
        <v>1000000000000</v>
      </c>
      <c r="B89" s="8">
        <v>0</v>
      </c>
      <c r="C89" s="8">
        <v>0</v>
      </c>
      <c r="D89" s="1" t="s">
        <v>17</v>
      </c>
    </row>
    <row r="90" spans="1:4">
      <c r="A90" s="7">
        <v>10700000000000</v>
      </c>
      <c r="B90" s="8">
        <v>0.6</v>
      </c>
      <c r="C90" s="8">
        <v>40450</v>
      </c>
      <c r="D90" s="1" t="s">
        <v>17</v>
      </c>
    </row>
    <row r="92" spans="1:1">
      <c r="A92" s="1" t="s">
        <v>45</v>
      </c>
    </row>
    <row r="93" spans="1:9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</row>
    <row r="94" spans="1:9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</row>
    <row r="95" spans="1:9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</row>
    <row r="96" spans="1:9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</row>
    <row r="97" spans="1:9">
      <c r="A97" s="1">
        <v>2.5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12</v>
      </c>
      <c r="I97" s="1">
        <v>1</v>
      </c>
    </row>
    <row r="98" spans="1:9">
      <c r="A98" s="1">
        <v>2.5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12</v>
      </c>
      <c r="I98" s="1">
        <v>0.83</v>
      </c>
    </row>
    <row r="99" spans="1:9">
      <c r="A99" s="1">
        <v>2.5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12</v>
      </c>
      <c r="I99" s="1">
        <v>0.75</v>
      </c>
    </row>
    <row r="100" spans="1:9">
      <c r="A100" s="1">
        <v>0.73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12</v>
      </c>
      <c r="I100" s="1">
        <v>0.38</v>
      </c>
    </row>
    <row r="101" spans="1:9">
      <c r="A101" s="1">
        <v>1.3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14</v>
      </c>
      <c r="I101" s="1">
        <v>0.67</v>
      </c>
    </row>
    <row r="102" spans="1:9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</row>
    <row r="103" spans="1:9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</row>
    <row r="104" spans="1:9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</row>
    <row r="105" spans="1:9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</row>
    <row r="106" spans="1:9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</row>
    <row r="107" spans="1:9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</row>
    <row r="108" spans="1:9">
      <c r="A108" s="1">
        <v>2.5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12</v>
      </c>
      <c r="I108" s="1">
        <v>0.45</v>
      </c>
    </row>
    <row r="109" spans="1:9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</row>
    <row r="110" spans="1:9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</row>
    <row r="111" spans="1:9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</row>
    <row r="112" spans="1:9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</row>
    <row r="113" spans="1:9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7"/>
  <sheetViews>
    <sheetView topLeftCell="A85" workbookViewId="0">
      <selection activeCell="G114" sqref="G114"/>
    </sheetView>
  </sheetViews>
  <sheetFormatPr defaultColWidth="8.83333333333333" defaultRowHeight="13.5"/>
  <cols>
    <col min="1" max="9" width="10.8333333333333" style="1" customWidth="1"/>
    <col min="10" max="10" width="10.6666666666667" style="2" customWidth="1"/>
    <col min="11" max="11" width="8.83333333333333" style="3"/>
    <col min="12" max="12" width="11.5" style="2" customWidth="1"/>
  </cols>
  <sheetData>
    <row r="1" spans="1:9">
      <c r="A1" s="1" t="s">
        <v>34</v>
      </c>
      <c r="B1" s="1" t="s">
        <v>35</v>
      </c>
      <c r="C1" s="1" t="s">
        <v>22</v>
      </c>
      <c r="D1" s="1" t="s">
        <v>23</v>
      </c>
      <c r="E1" s="1" t="s">
        <v>36</v>
      </c>
      <c r="F1" s="1" t="s">
        <v>37</v>
      </c>
      <c r="G1" s="1" t="s">
        <v>38</v>
      </c>
      <c r="H1" s="1" t="s">
        <v>27</v>
      </c>
      <c r="I1" s="1" t="s">
        <v>8</v>
      </c>
    </row>
    <row r="2" spans="1:9">
      <c r="A2" s="1">
        <v>2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7</v>
      </c>
    </row>
    <row r="3" spans="1:9">
      <c r="A3" s="1">
        <v>2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7</v>
      </c>
    </row>
    <row r="4" spans="1:9">
      <c r="A4" s="4" t="s">
        <v>11</v>
      </c>
      <c r="B4" s="4"/>
      <c r="C4" s="4"/>
      <c r="D4" s="4"/>
      <c r="E4" s="4"/>
      <c r="F4" s="4"/>
      <c r="G4" s="4"/>
      <c r="H4" s="4"/>
      <c r="I4" s="4"/>
    </row>
    <row r="5" spans="1:9">
      <c r="A5" s="4">
        <v>0</v>
      </c>
      <c r="B5" s="4">
        <v>1</v>
      </c>
      <c r="C5" s="4">
        <v>0</v>
      </c>
      <c r="D5" s="4">
        <v>1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spans="1:9">
      <c r="A6" s="4">
        <v>1</v>
      </c>
      <c r="B6" s="4">
        <v>0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</row>
    <row r="7" spans="1:9">
      <c r="A7" s="4">
        <v>1</v>
      </c>
      <c r="B7" s="4">
        <v>0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</row>
    <row r="8" spans="1:9">
      <c r="A8" s="4">
        <v>0</v>
      </c>
      <c r="B8" s="4">
        <v>0</v>
      </c>
      <c r="C8" s="4">
        <v>0</v>
      </c>
      <c r="D8" s="4">
        <v>0</v>
      </c>
      <c r="E8" s="4">
        <v>2</v>
      </c>
      <c r="F8" s="4">
        <v>0</v>
      </c>
      <c r="G8" s="4">
        <v>0</v>
      </c>
      <c r="H8" s="4">
        <v>0</v>
      </c>
      <c r="I8" s="4">
        <v>0</v>
      </c>
    </row>
    <row r="9" spans="1:9">
      <c r="A9" s="4">
        <v>0</v>
      </c>
      <c r="B9" s="4">
        <v>0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</row>
    <row r="10" spans="1:9">
      <c r="A10" s="4">
        <v>0</v>
      </c>
      <c r="B10" s="4">
        <v>0</v>
      </c>
      <c r="C10" s="4">
        <v>0</v>
      </c>
      <c r="D10" s="4">
        <v>2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</row>
    <row r="11" spans="1:9">
      <c r="A11" s="4">
        <v>1</v>
      </c>
      <c r="B11" s="4">
        <v>0</v>
      </c>
      <c r="C11" s="4">
        <v>0</v>
      </c>
      <c r="D11" s="4">
        <v>2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</row>
    <row r="12" spans="1:9">
      <c r="A12" s="4">
        <v>0</v>
      </c>
      <c r="B12" s="4">
        <v>0</v>
      </c>
      <c r="C12" s="4">
        <v>0</v>
      </c>
      <c r="D12" s="4">
        <v>2</v>
      </c>
      <c r="E12" s="4">
        <v>0</v>
      </c>
      <c r="F12" s="4">
        <v>0</v>
      </c>
      <c r="G12" s="4">
        <v>0</v>
      </c>
      <c r="H12" s="4">
        <v>1</v>
      </c>
      <c r="I12" s="4">
        <v>0</v>
      </c>
    </row>
    <row r="13" spans="1:9">
      <c r="A13" s="4">
        <v>0</v>
      </c>
      <c r="B13" s="4">
        <v>0</v>
      </c>
      <c r="C13" s="4">
        <v>0</v>
      </c>
      <c r="D13" s="4">
        <v>1</v>
      </c>
      <c r="E13" s="4">
        <v>1</v>
      </c>
      <c r="F13" s="4">
        <v>0</v>
      </c>
      <c r="G13" s="4">
        <v>0</v>
      </c>
      <c r="H13" s="4">
        <v>0</v>
      </c>
      <c r="I13" s="4">
        <v>0</v>
      </c>
    </row>
    <row r="14" spans="1:9">
      <c r="A14" s="4">
        <v>0</v>
      </c>
      <c r="B14" s="4">
        <v>1</v>
      </c>
      <c r="C14" s="4">
        <v>0</v>
      </c>
      <c r="D14" s="4">
        <v>1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</row>
    <row r="15" spans="1:9">
      <c r="A15" s="4">
        <v>1</v>
      </c>
      <c r="B15" s="4">
        <v>1</v>
      </c>
      <c r="C15" s="4">
        <v>0</v>
      </c>
      <c r="D15" s="4">
        <v>1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</row>
    <row r="16" spans="1:9">
      <c r="A16" s="4">
        <v>0</v>
      </c>
      <c r="B16" s="4">
        <v>2</v>
      </c>
      <c r="C16" s="4">
        <v>0</v>
      </c>
      <c r="D16" s="4">
        <v>1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</row>
    <row r="17" spans="1:9">
      <c r="A17" s="4">
        <v>0</v>
      </c>
      <c r="B17" s="4">
        <v>1</v>
      </c>
      <c r="C17" s="4">
        <v>0</v>
      </c>
      <c r="D17" s="4">
        <v>1</v>
      </c>
      <c r="E17" s="4">
        <v>0</v>
      </c>
      <c r="F17" s="4">
        <v>0</v>
      </c>
      <c r="G17" s="4">
        <v>0</v>
      </c>
      <c r="H17" s="4">
        <v>0</v>
      </c>
      <c r="I17" s="4">
        <v>1</v>
      </c>
    </row>
    <row r="18" spans="1:9">
      <c r="A18" s="4">
        <v>0</v>
      </c>
      <c r="B18" s="4">
        <v>1</v>
      </c>
      <c r="C18" s="4">
        <v>0</v>
      </c>
      <c r="D18" s="4">
        <v>1</v>
      </c>
      <c r="E18" s="4">
        <v>0</v>
      </c>
      <c r="F18" s="4">
        <v>0</v>
      </c>
      <c r="G18" s="4">
        <v>0</v>
      </c>
      <c r="H18" s="4">
        <v>1</v>
      </c>
      <c r="I18" s="4">
        <v>0</v>
      </c>
    </row>
    <row r="19" spans="1:9">
      <c r="A19" s="4">
        <v>0</v>
      </c>
      <c r="B19" s="4">
        <v>0</v>
      </c>
      <c r="C19" s="4">
        <v>0</v>
      </c>
      <c r="D19" s="4">
        <v>1</v>
      </c>
      <c r="E19" s="4">
        <v>0</v>
      </c>
      <c r="F19" s="4">
        <v>1</v>
      </c>
      <c r="G19" s="4">
        <v>0</v>
      </c>
      <c r="H19" s="4">
        <v>0</v>
      </c>
      <c r="I19" s="4">
        <v>0</v>
      </c>
    </row>
    <row r="20" spans="1:9">
      <c r="A20" s="4">
        <v>0</v>
      </c>
      <c r="B20" s="4">
        <v>0</v>
      </c>
      <c r="C20" s="4">
        <v>0</v>
      </c>
      <c r="D20" s="4">
        <v>1</v>
      </c>
      <c r="E20" s="4">
        <v>0</v>
      </c>
      <c r="F20" s="4">
        <v>1</v>
      </c>
      <c r="G20" s="4">
        <v>0</v>
      </c>
      <c r="H20" s="4">
        <v>0</v>
      </c>
      <c r="I20" s="4">
        <v>0</v>
      </c>
    </row>
    <row r="21" spans="1:9">
      <c r="A21" s="4">
        <v>0</v>
      </c>
      <c r="B21" s="4">
        <v>0</v>
      </c>
      <c r="C21" s="4">
        <v>0</v>
      </c>
      <c r="D21" s="4">
        <v>1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</row>
    <row r="22" spans="1:9">
      <c r="A22" s="4">
        <v>0</v>
      </c>
      <c r="B22" s="4">
        <v>0</v>
      </c>
      <c r="C22" s="4">
        <v>1</v>
      </c>
      <c r="D22" s="4">
        <v>0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</row>
    <row r="23" spans="1:9">
      <c r="A23" s="4">
        <v>0</v>
      </c>
      <c r="B23" s="4">
        <v>0</v>
      </c>
      <c r="C23" s="4">
        <v>0</v>
      </c>
      <c r="D23" s="4">
        <v>0</v>
      </c>
      <c r="E23" s="4">
        <v>1</v>
      </c>
      <c r="F23" s="4">
        <v>1</v>
      </c>
      <c r="G23" s="4">
        <v>0</v>
      </c>
      <c r="H23" s="4">
        <v>0</v>
      </c>
      <c r="I23" s="4">
        <v>0</v>
      </c>
    </row>
    <row r="24" spans="1:9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2</v>
      </c>
      <c r="G24" s="4">
        <v>0</v>
      </c>
      <c r="H24" s="4">
        <v>0</v>
      </c>
      <c r="I24" s="4">
        <v>0</v>
      </c>
    </row>
    <row r="25" spans="1:9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4">
        <v>0</v>
      </c>
      <c r="I25" s="4">
        <v>0</v>
      </c>
    </row>
    <row r="26" spans="1:9">
      <c r="A26" s="1">
        <v>0</v>
      </c>
      <c r="B26" s="1">
        <v>0</v>
      </c>
      <c r="C26" s="1">
        <v>0</v>
      </c>
      <c r="D26" s="1">
        <v>1</v>
      </c>
      <c r="E26" s="1">
        <v>0</v>
      </c>
      <c r="F26" s="1">
        <v>0</v>
      </c>
      <c r="G26" s="1">
        <v>1</v>
      </c>
      <c r="H26" s="4">
        <v>0</v>
      </c>
      <c r="I26" s="4">
        <v>0</v>
      </c>
    </row>
    <row r="27" spans="1:9">
      <c r="A27" s="1">
        <v>0</v>
      </c>
      <c r="B27" s="1">
        <v>0</v>
      </c>
      <c r="C27" s="1">
        <v>0</v>
      </c>
      <c r="D27" s="1">
        <v>1</v>
      </c>
      <c r="E27" s="1">
        <v>0</v>
      </c>
      <c r="F27" s="1">
        <v>0</v>
      </c>
      <c r="G27" s="1">
        <v>1</v>
      </c>
      <c r="H27" s="4">
        <v>0</v>
      </c>
      <c r="I27" s="4">
        <v>0</v>
      </c>
    </row>
    <row r="28" spans="1:9">
      <c r="A28" s="1">
        <v>0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  <c r="G28" s="1">
        <v>1</v>
      </c>
      <c r="H28" s="4">
        <v>0</v>
      </c>
      <c r="I28" s="4">
        <v>0</v>
      </c>
    </row>
    <row r="29" spans="1:9">
      <c r="A29" s="1">
        <v>0</v>
      </c>
      <c r="B29" s="1">
        <v>0</v>
      </c>
      <c r="C29" s="1">
        <v>0</v>
      </c>
      <c r="D29" s="1">
        <v>0</v>
      </c>
      <c r="E29" s="1">
        <v>1</v>
      </c>
      <c r="F29" s="1">
        <v>0</v>
      </c>
      <c r="G29" s="1">
        <v>1</v>
      </c>
      <c r="H29" s="4">
        <v>0</v>
      </c>
      <c r="I29" s="4">
        <v>0</v>
      </c>
    </row>
    <row r="30" spans="1:9">
      <c r="A30" s="4" t="s">
        <v>12</v>
      </c>
      <c r="B30" s="4"/>
      <c r="C30" s="4"/>
      <c r="D30" s="4"/>
      <c r="E30" s="4"/>
      <c r="F30" s="4"/>
      <c r="G30" s="4"/>
      <c r="H30" s="4"/>
      <c r="I30" s="4"/>
    </row>
    <row r="31" spans="1:9">
      <c r="A31" s="4">
        <v>0</v>
      </c>
      <c r="B31" s="4">
        <v>0</v>
      </c>
      <c r="C31" s="4">
        <v>1</v>
      </c>
      <c r="D31" s="4">
        <v>0</v>
      </c>
      <c r="E31" s="4">
        <v>1</v>
      </c>
      <c r="F31" s="4">
        <v>0</v>
      </c>
      <c r="G31" s="4">
        <v>0</v>
      </c>
      <c r="H31" s="4">
        <v>0</v>
      </c>
      <c r="I31" s="4">
        <v>0</v>
      </c>
    </row>
    <row r="32" spans="1:9">
      <c r="A32" s="4">
        <v>0</v>
      </c>
      <c r="B32" s="4">
        <v>0</v>
      </c>
      <c r="C32" s="4">
        <v>0</v>
      </c>
      <c r="D32" s="4">
        <v>1</v>
      </c>
      <c r="E32" s="4">
        <v>1</v>
      </c>
      <c r="F32" s="4">
        <v>0</v>
      </c>
      <c r="G32" s="4">
        <v>0</v>
      </c>
      <c r="H32" s="4">
        <v>0</v>
      </c>
      <c r="I32" s="4">
        <v>0</v>
      </c>
    </row>
    <row r="33" spans="1:9">
      <c r="A33" s="4">
        <v>0</v>
      </c>
      <c r="B33" s="4">
        <v>0</v>
      </c>
      <c r="C33" s="4">
        <v>0</v>
      </c>
      <c r="D33" s="4">
        <v>1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</row>
    <row r="34" spans="1:9">
      <c r="A34" s="4">
        <v>0</v>
      </c>
      <c r="B34" s="4">
        <v>0</v>
      </c>
      <c r="C34" s="4">
        <v>1</v>
      </c>
      <c r="D34" s="4">
        <v>0</v>
      </c>
      <c r="E34" s="4">
        <v>0</v>
      </c>
      <c r="F34" s="4">
        <v>0</v>
      </c>
      <c r="G34" s="4">
        <v>0</v>
      </c>
      <c r="H34" s="4">
        <v>1</v>
      </c>
      <c r="I34" s="4">
        <v>0</v>
      </c>
    </row>
    <row r="35" spans="1:9">
      <c r="A35" s="4">
        <v>0</v>
      </c>
      <c r="B35" s="4">
        <v>1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</row>
    <row r="36" spans="1:9">
      <c r="A36" s="4">
        <v>1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</row>
    <row r="37" spans="1:9">
      <c r="A37" s="4">
        <v>2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</row>
    <row r="38" spans="1:9">
      <c r="A38" s="4">
        <v>1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1</v>
      </c>
      <c r="I38" s="4">
        <v>0</v>
      </c>
    </row>
    <row r="39" spans="1:9">
      <c r="A39" s="4">
        <v>0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1</v>
      </c>
      <c r="I39" s="4">
        <v>0</v>
      </c>
    </row>
    <row r="40" spans="1:9">
      <c r="A40" s="4">
        <v>0</v>
      </c>
      <c r="B40" s="4">
        <v>0</v>
      </c>
      <c r="C40" s="4">
        <v>0</v>
      </c>
      <c r="D40" s="4">
        <v>0</v>
      </c>
      <c r="E40" s="4">
        <v>0</v>
      </c>
      <c r="F40" s="4">
        <v>1</v>
      </c>
      <c r="G40" s="4">
        <v>0</v>
      </c>
      <c r="H40" s="4">
        <v>0</v>
      </c>
      <c r="I40" s="4">
        <v>0</v>
      </c>
    </row>
    <row r="41" spans="1:9">
      <c r="A41" s="4">
        <v>1</v>
      </c>
      <c r="B41" s="4">
        <v>0</v>
      </c>
      <c r="C41" s="4">
        <v>0</v>
      </c>
      <c r="D41" s="4">
        <v>0</v>
      </c>
      <c r="E41" s="4">
        <v>0</v>
      </c>
      <c r="F41" s="4">
        <v>1</v>
      </c>
      <c r="G41" s="4">
        <v>0</v>
      </c>
      <c r="H41" s="4">
        <v>0</v>
      </c>
      <c r="I41" s="4">
        <v>0</v>
      </c>
    </row>
    <row r="42" spans="1:9">
      <c r="A42" s="4">
        <v>0</v>
      </c>
      <c r="B42" s="4">
        <v>1</v>
      </c>
      <c r="C42" s="4">
        <v>0</v>
      </c>
      <c r="D42" s="4">
        <v>0</v>
      </c>
      <c r="E42" s="4">
        <v>0</v>
      </c>
      <c r="F42" s="4">
        <v>1</v>
      </c>
      <c r="G42" s="4">
        <v>0</v>
      </c>
      <c r="H42" s="4">
        <v>0</v>
      </c>
      <c r="I42" s="4">
        <v>0</v>
      </c>
    </row>
    <row r="43" spans="1:9">
      <c r="A43" s="4">
        <v>0</v>
      </c>
      <c r="B43" s="4">
        <v>0</v>
      </c>
      <c r="C43" s="4">
        <v>0</v>
      </c>
      <c r="D43" s="4">
        <v>0</v>
      </c>
      <c r="E43" s="4">
        <v>0</v>
      </c>
      <c r="F43" s="4">
        <v>1</v>
      </c>
      <c r="G43" s="4">
        <v>0</v>
      </c>
      <c r="H43" s="4">
        <v>0</v>
      </c>
      <c r="I43" s="4">
        <v>1</v>
      </c>
    </row>
    <row r="44" spans="1:9">
      <c r="A44" s="4">
        <v>0</v>
      </c>
      <c r="B44" s="4">
        <v>0</v>
      </c>
      <c r="C44" s="4">
        <v>0</v>
      </c>
      <c r="D44" s="4">
        <v>0</v>
      </c>
      <c r="E44" s="4">
        <v>0</v>
      </c>
      <c r="F44" s="4">
        <v>1</v>
      </c>
      <c r="G44" s="4">
        <v>0</v>
      </c>
      <c r="H44" s="4">
        <v>1</v>
      </c>
      <c r="I44" s="4">
        <v>0</v>
      </c>
    </row>
    <row r="45" spans="1:9">
      <c r="A45" s="4">
        <v>0</v>
      </c>
      <c r="B45" s="4">
        <v>0</v>
      </c>
      <c r="C45" s="4">
        <v>0</v>
      </c>
      <c r="D45" s="4">
        <v>0</v>
      </c>
      <c r="E45" s="4">
        <v>2</v>
      </c>
      <c r="F45" s="4">
        <v>0</v>
      </c>
      <c r="G45" s="4">
        <v>0</v>
      </c>
      <c r="H45" s="4">
        <v>0</v>
      </c>
      <c r="I45" s="4">
        <v>0</v>
      </c>
    </row>
    <row r="46" spans="1:9">
      <c r="A46" s="4">
        <v>1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</row>
    <row r="47" spans="1:9">
      <c r="A47" s="4">
        <v>0</v>
      </c>
      <c r="B47" s="4">
        <v>0</v>
      </c>
      <c r="C47" s="4">
        <v>1</v>
      </c>
      <c r="D47" s="4">
        <v>0</v>
      </c>
      <c r="E47" s="4">
        <v>0</v>
      </c>
      <c r="F47" s="4">
        <v>0</v>
      </c>
      <c r="G47" s="4">
        <v>0</v>
      </c>
      <c r="H47" s="4">
        <v>1</v>
      </c>
      <c r="I47" s="4">
        <v>0</v>
      </c>
    </row>
    <row r="48" spans="1:9">
      <c r="A48" s="4">
        <v>0</v>
      </c>
      <c r="B48" s="4">
        <v>1</v>
      </c>
      <c r="C48" s="4">
        <v>0</v>
      </c>
      <c r="D48" s="4">
        <v>0</v>
      </c>
      <c r="E48" s="4">
        <v>1</v>
      </c>
      <c r="F48" s="4">
        <v>0</v>
      </c>
      <c r="G48" s="4">
        <v>0</v>
      </c>
      <c r="H48" s="4">
        <v>0</v>
      </c>
      <c r="I48" s="4">
        <v>0</v>
      </c>
    </row>
    <row r="49" spans="1:9">
      <c r="A49" s="4">
        <v>0</v>
      </c>
      <c r="B49" s="4">
        <v>1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1</v>
      </c>
      <c r="I49" s="4">
        <v>0</v>
      </c>
    </row>
    <row r="50" spans="1:9">
      <c r="A50" s="4">
        <v>0</v>
      </c>
      <c r="B50" s="4">
        <v>1</v>
      </c>
      <c r="C50" s="4">
        <v>0</v>
      </c>
      <c r="D50" s="4">
        <v>0</v>
      </c>
      <c r="E50" s="1">
        <v>0</v>
      </c>
      <c r="F50" s="4">
        <v>0</v>
      </c>
      <c r="G50" s="1">
        <v>1</v>
      </c>
      <c r="H50" s="1">
        <v>0</v>
      </c>
      <c r="I50" s="4">
        <v>0</v>
      </c>
    </row>
    <row r="51" spans="1:9">
      <c r="A51" s="4">
        <v>0</v>
      </c>
      <c r="B51" s="1">
        <v>0</v>
      </c>
      <c r="C51" s="4">
        <v>0</v>
      </c>
      <c r="D51" s="4">
        <v>0</v>
      </c>
      <c r="E51" s="1">
        <v>2</v>
      </c>
      <c r="F51" s="4">
        <v>0</v>
      </c>
      <c r="G51" s="1">
        <v>0</v>
      </c>
      <c r="H51" s="1">
        <v>0</v>
      </c>
      <c r="I51" s="4">
        <v>0</v>
      </c>
    </row>
    <row r="52" spans="1:9">
      <c r="A52" s="1">
        <v>1</v>
      </c>
      <c r="B52" s="1">
        <v>0</v>
      </c>
      <c r="C52" s="4">
        <v>0</v>
      </c>
      <c r="D52" s="4">
        <v>0</v>
      </c>
      <c r="E52" s="1">
        <v>0</v>
      </c>
      <c r="F52" s="1">
        <v>1</v>
      </c>
      <c r="G52" s="1">
        <v>0</v>
      </c>
      <c r="H52" s="1">
        <v>0</v>
      </c>
      <c r="I52" s="4">
        <v>0</v>
      </c>
    </row>
    <row r="53" spans="1:9">
      <c r="A53" s="1">
        <v>0</v>
      </c>
      <c r="B53" s="1">
        <v>0</v>
      </c>
      <c r="C53" s="4">
        <v>0</v>
      </c>
      <c r="D53" s="4">
        <v>0</v>
      </c>
      <c r="E53" s="1">
        <v>1</v>
      </c>
      <c r="F53" s="1">
        <v>0</v>
      </c>
      <c r="G53" s="1">
        <v>0</v>
      </c>
      <c r="H53" s="1">
        <v>1</v>
      </c>
      <c r="I53" s="4">
        <v>0</v>
      </c>
    </row>
    <row r="54" spans="1:9">
      <c r="A54" s="1">
        <v>0</v>
      </c>
      <c r="B54" s="1">
        <v>0</v>
      </c>
      <c r="C54" s="4">
        <v>0</v>
      </c>
      <c r="D54" s="4">
        <v>0</v>
      </c>
      <c r="E54" s="1">
        <v>1</v>
      </c>
      <c r="F54" s="1">
        <v>1</v>
      </c>
      <c r="G54" s="1">
        <v>0</v>
      </c>
      <c r="H54" s="1">
        <v>0</v>
      </c>
      <c r="I54" s="4">
        <v>0</v>
      </c>
    </row>
    <row r="55" spans="1:9">
      <c r="A55" s="1">
        <v>0</v>
      </c>
      <c r="B55" s="1">
        <v>0</v>
      </c>
      <c r="C55" s="4">
        <v>0</v>
      </c>
      <c r="D55" s="4">
        <v>0</v>
      </c>
      <c r="E55" s="1">
        <v>0</v>
      </c>
      <c r="F55" s="1">
        <v>1</v>
      </c>
      <c r="G55" s="1">
        <v>0</v>
      </c>
      <c r="H55" s="1">
        <v>1</v>
      </c>
      <c r="I55" s="4">
        <v>0</v>
      </c>
    </row>
    <row r="56" spans="1:9">
      <c r="A56" s="4" t="s">
        <v>13</v>
      </c>
      <c r="B56" s="4"/>
      <c r="C56" s="4"/>
      <c r="D56" s="4"/>
      <c r="E56" s="4"/>
      <c r="F56" s="4"/>
      <c r="G56"/>
      <c r="H56" s="4"/>
      <c r="I56" s="4"/>
    </row>
    <row r="57" spans="1:9">
      <c r="A57" s="4">
        <v>0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</row>
    <row r="58" spans="1:9">
      <c r="A58" s="4">
        <v>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</row>
    <row r="59" spans="1:9">
      <c r="A59" s="4">
        <v>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</row>
    <row r="60" spans="1:9">
      <c r="A60" s="4">
        <v>0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</row>
    <row r="61" spans="1:9">
      <c r="A61" s="4">
        <v>2.9</v>
      </c>
      <c r="B61" s="4">
        <v>1.2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18.5</v>
      </c>
      <c r="I61" s="4">
        <v>1.2</v>
      </c>
    </row>
    <row r="62" spans="1:18">
      <c r="A62" s="4">
        <v>2.22</v>
      </c>
      <c r="B62" s="4">
        <v>1.6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4">
        <v>23.56</v>
      </c>
      <c r="I62" s="4">
        <v>1.6</v>
      </c>
      <c r="J62" s="4" t="s">
        <v>46</v>
      </c>
      <c r="K62" s="4">
        <v>1.6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 t="s">
        <v>47</v>
      </c>
      <c r="R62" s="4">
        <v>1.6</v>
      </c>
    </row>
    <row r="63" spans="1:18">
      <c r="A63" s="4">
        <v>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</row>
    <row r="64" spans="1:18">
      <c r="A64" s="4">
        <v>0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</row>
    <row r="65" spans="1:18">
      <c r="A65" s="4">
        <v>1.9</v>
      </c>
      <c r="B65" s="4">
        <v>2.6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9.5</v>
      </c>
      <c r="I65" s="4">
        <v>2.6</v>
      </c>
      <c r="J65" s="4">
        <v>1.9</v>
      </c>
      <c r="K65" s="4">
        <v>2.6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9.5</v>
      </c>
      <c r="R65" s="4">
        <v>2.6</v>
      </c>
    </row>
    <row r="66" spans="1:18">
      <c r="A66" s="4">
        <v>2.64</v>
      </c>
      <c r="B66" s="4">
        <v>0.856</v>
      </c>
      <c r="C66" s="4">
        <v>1</v>
      </c>
      <c r="D66" s="4">
        <v>1</v>
      </c>
      <c r="E66" s="4">
        <v>1</v>
      </c>
      <c r="F66" s="4">
        <v>1</v>
      </c>
      <c r="G66" s="4">
        <v>1</v>
      </c>
      <c r="H66" s="4">
        <v>17.66</v>
      </c>
      <c r="I66" s="4">
        <v>0.93</v>
      </c>
      <c r="J66" s="4" t="s">
        <v>48</v>
      </c>
      <c r="K66" s="4" t="s">
        <v>49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 t="s">
        <v>50</v>
      </c>
      <c r="R66" s="4" t="s">
        <v>51</v>
      </c>
    </row>
    <row r="67" spans="1:9">
      <c r="A67" s="4">
        <v>0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</row>
    <row r="68" spans="1:9">
      <c r="A68" s="4">
        <v>0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</row>
    <row r="69" spans="1:9">
      <c r="A69" s="4">
        <v>0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</row>
    <row r="70" spans="1:9">
      <c r="A70" s="4">
        <v>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</row>
    <row r="71" spans="1:9">
      <c r="A71" s="4">
        <v>0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</row>
    <row r="72" spans="1:9">
      <c r="A72" s="4">
        <v>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</row>
    <row r="73" spans="1:9">
      <c r="A73" s="4">
        <v>0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</row>
    <row r="74" spans="1:9">
      <c r="A74" s="4">
        <v>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</row>
    <row r="75" spans="1:9">
      <c r="A75" s="4">
        <v>0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</row>
    <row r="76" spans="1:9">
      <c r="A76" s="4">
        <v>0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</row>
    <row r="77" spans="1:9">
      <c r="A77" s="4">
        <v>1.9</v>
      </c>
      <c r="B77" s="4">
        <v>2.6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9.5</v>
      </c>
      <c r="I77" s="4">
        <v>2.6</v>
      </c>
    </row>
    <row r="78" spans="1:9">
      <c r="A78" s="4">
        <v>0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</row>
    <row r="79" spans="1:9">
      <c r="A79" s="4">
        <v>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</row>
    <row r="80" spans="1:9">
      <c r="A80" s="4">
        <v>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</row>
    <row r="81" spans="1:9">
      <c r="A81" s="4">
        <v>0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</row>
    <row r="82" spans="1:3">
      <c r="A82" s="5" t="s">
        <v>14</v>
      </c>
      <c r="B82" s="3"/>
      <c r="C82" s="5"/>
    </row>
    <row r="83" spans="1:4">
      <c r="A83" s="5">
        <v>2.639e-7</v>
      </c>
      <c r="B83" s="6">
        <v>-0.927</v>
      </c>
      <c r="C83" s="5">
        <v>-8492</v>
      </c>
      <c r="D83" s="1" t="s">
        <v>17</v>
      </c>
    </row>
    <row r="84" spans="1:4">
      <c r="A84" s="5">
        <v>8.398e-20</v>
      </c>
      <c r="B84" s="6">
        <v>2.67</v>
      </c>
      <c r="C84" s="5">
        <v>-3163</v>
      </c>
      <c r="D84" s="1" t="s">
        <v>17</v>
      </c>
    </row>
    <row r="85" spans="1:3">
      <c r="A85" s="5">
        <v>3.585e-16</v>
      </c>
      <c r="B85" s="6">
        <v>1.51</v>
      </c>
      <c r="C85" s="5">
        <v>-1726</v>
      </c>
    </row>
    <row r="86" spans="1:3">
      <c r="A86" s="5" t="s">
        <v>52</v>
      </c>
      <c r="B86" s="6">
        <v>1.4</v>
      </c>
      <c r="C86" s="5">
        <v>199.7</v>
      </c>
    </row>
    <row r="87" spans="1:3">
      <c r="A87" s="5">
        <v>2.755e-31</v>
      </c>
      <c r="B87" s="6">
        <v>-1</v>
      </c>
      <c r="C87" s="5">
        <v>0</v>
      </c>
    </row>
    <row r="88" spans="1:3">
      <c r="A88" s="5">
        <v>1.763e-30</v>
      </c>
      <c r="B88" s="6">
        <v>-1</v>
      </c>
      <c r="C88" s="5">
        <v>0</v>
      </c>
    </row>
    <row r="89" spans="1:3">
      <c r="A89" s="5">
        <v>2.534e-31</v>
      </c>
      <c r="B89" s="6">
        <v>-0.6</v>
      </c>
      <c r="C89" s="5">
        <v>0</v>
      </c>
    </row>
    <row r="90" spans="1:3">
      <c r="A90" s="5">
        <v>1.653e-28</v>
      </c>
      <c r="B90" s="6">
        <v>-1.25</v>
      </c>
      <c r="C90" s="5">
        <v>0</v>
      </c>
    </row>
    <row r="91" spans="1:3">
      <c r="A91" s="5">
        <v>2.314e-26</v>
      </c>
      <c r="B91" s="6">
        <v>-2</v>
      </c>
      <c r="C91" s="5">
        <v>0</v>
      </c>
    </row>
    <row r="92" spans="1:3">
      <c r="A92" s="5">
        <v>1.928e-30</v>
      </c>
      <c r="B92" s="6">
        <v>-0.8</v>
      </c>
      <c r="C92" s="5">
        <v>0</v>
      </c>
    </row>
    <row r="93" spans="1:3">
      <c r="A93" s="5">
        <v>7.713e-30</v>
      </c>
      <c r="B93" s="6">
        <v>-0.86</v>
      </c>
      <c r="C93" s="5">
        <v>0</v>
      </c>
    </row>
    <row r="94" spans="1:3">
      <c r="A94" s="5">
        <v>8.264e-28</v>
      </c>
      <c r="B94" s="6">
        <v>-1.72</v>
      </c>
      <c r="C94" s="5">
        <v>0</v>
      </c>
    </row>
    <row r="95" spans="1:3">
      <c r="A95" s="5">
        <v>1.033e-27</v>
      </c>
      <c r="B95" s="6">
        <v>-1.72</v>
      </c>
      <c r="C95" s="5">
        <v>0</v>
      </c>
    </row>
    <row r="96" spans="1:3">
      <c r="A96" s="5">
        <v>2.59e-29</v>
      </c>
      <c r="B96" s="6">
        <v>-0.76</v>
      </c>
      <c r="C96" s="5">
        <v>0</v>
      </c>
    </row>
    <row r="97" spans="1:3">
      <c r="A97" s="5">
        <v>3.652e-10</v>
      </c>
      <c r="B97" s="6">
        <v>0</v>
      </c>
      <c r="C97" s="5">
        <v>-709.6</v>
      </c>
    </row>
    <row r="98" spans="1:3">
      <c r="A98" s="5">
        <v>4.149e-11</v>
      </c>
      <c r="B98" s="6">
        <v>0</v>
      </c>
      <c r="C98" s="5">
        <v>-348.8</v>
      </c>
    </row>
    <row r="99" spans="1:3">
      <c r="A99" s="5">
        <v>8.299e-12</v>
      </c>
      <c r="B99" s="6">
        <v>0</v>
      </c>
      <c r="C99" s="5">
        <v>-709.6</v>
      </c>
    </row>
    <row r="100" spans="1:3">
      <c r="A100" s="5">
        <v>3.32e-11</v>
      </c>
      <c r="B100" s="6">
        <v>0</v>
      </c>
      <c r="C100" s="5">
        <v>0</v>
      </c>
    </row>
    <row r="101" spans="1:3">
      <c r="A101" s="5">
        <v>3.32e-11</v>
      </c>
      <c r="B101" s="6">
        <v>0</v>
      </c>
      <c r="C101" s="5">
        <v>0</v>
      </c>
    </row>
    <row r="102" spans="1:3">
      <c r="A102" s="2">
        <v>1.759e-13</v>
      </c>
      <c r="B102" s="3">
        <v>0</v>
      </c>
      <c r="C102" s="2">
        <v>854</v>
      </c>
    </row>
    <row r="103" spans="1:3">
      <c r="A103" s="2">
        <v>1.66e-7</v>
      </c>
      <c r="B103" s="3">
        <v>0</v>
      </c>
      <c r="C103" s="2">
        <v>-23380</v>
      </c>
    </row>
    <row r="104" spans="1:3">
      <c r="A104" s="2">
        <v>2.822e-12</v>
      </c>
      <c r="B104" s="3">
        <v>0</v>
      </c>
      <c r="C104" s="2">
        <v>-1900</v>
      </c>
    </row>
    <row r="105" spans="1:3">
      <c r="A105" s="2">
        <v>1.66e-11</v>
      </c>
      <c r="B105" s="3">
        <v>0</v>
      </c>
      <c r="C105" s="2">
        <v>-1804</v>
      </c>
    </row>
    <row r="106" spans="1:3">
      <c r="A106" s="2">
        <v>4.647e-11</v>
      </c>
      <c r="B106" s="3">
        <v>0</v>
      </c>
      <c r="C106" s="2">
        <v>-3223</v>
      </c>
    </row>
    <row r="107" spans="1:3">
      <c r="A107" s="2">
        <v>1.162e-11</v>
      </c>
      <c r="B107" s="3">
        <v>0</v>
      </c>
      <c r="C107" s="2">
        <v>-721.7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H2O-N2_21_Reaction_OFM</vt:lpstr>
      <vt:lpstr>N2</vt:lpstr>
      <vt:lpstr>H2O_18_Reaction</vt:lpstr>
      <vt:lpstr>H2O_19_Reaction</vt:lpstr>
      <vt:lpstr>H2O_23_Reaction</vt:lpstr>
      <vt:lpstr>H2O-N2_16_Reaction</vt:lpstr>
      <vt:lpstr>H2O-N2_19_Reaction</vt:lpstr>
      <vt:lpstr>H2O-N2_21_Reaction</vt:lpstr>
      <vt:lpstr>H2O-N2_25_Reaction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gpi</cp:lastModifiedBy>
  <dcterms:created xsi:type="dcterms:W3CDTF">2023-08-18T20:36:00Z</dcterms:created>
  <dcterms:modified xsi:type="dcterms:W3CDTF">2025-01-10T14:47:39Z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CCF9E16A9FF61D63ABAE806723221A56_43</vt:lpwstr>
  </property>
  <property fmtid="{D5CDD505-2E9C-101B-9397-08002B2CF9AE}" pid="3" name="KSOProductBuildVer">
    <vt:lpwstr>2052-12.1.0.17900</vt:lpwstr>
  </property>
</Properties>
</file>